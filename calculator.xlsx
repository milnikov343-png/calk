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vanmylnikov/Downloads/"/>
    </mc:Choice>
  </mc:AlternateContent>
  <xr:revisionPtr revIDLastSave="0" documentId="13_ncr:1_{9822C955-9DB7-3642-9C8D-8E6BDCD35CC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Ввод информации" sheetId="1" r:id="rId1"/>
    <sheet name="Параметры для расчета" sheetId="2" state="hidden" r:id="rId2"/>
    <sheet name="Итог" sheetId="3" r:id="rId3"/>
    <sheet name="Цены" sheetId="4" state="hidden" r:id="rId4"/>
  </sheets>
  <definedNames>
    <definedName name="Фундамент">Итог!$48:$56</definedName>
  </definedNames>
  <calcPr calcId="191029"/>
</workbook>
</file>

<file path=xl/calcChain.xml><?xml version="1.0" encoding="utf-8"?>
<calcChain xmlns="http://schemas.openxmlformats.org/spreadsheetml/2006/main">
  <c r="H43" i="3" l="1"/>
  <c r="J43" i="3"/>
  <c r="H44" i="3"/>
  <c r="J44" i="3"/>
  <c r="H45" i="3"/>
  <c r="J45" i="3"/>
  <c r="H46" i="3"/>
  <c r="J46" i="3"/>
  <c r="H26" i="3"/>
  <c r="J26" i="3" s="1"/>
  <c r="H27" i="3"/>
  <c r="J27" i="3"/>
  <c r="G56" i="3"/>
  <c r="D56" i="3"/>
  <c r="C56" i="3"/>
  <c r="B56" i="3"/>
  <c r="A56" i="3"/>
  <c r="G55" i="3"/>
  <c r="D55" i="3"/>
  <c r="C55" i="3"/>
  <c r="B55" i="3"/>
  <c r="A55" i="3"/>
  <c r="G54" i="3"/>
  <c r="D54" i="3"/>
  <c r="C54" i="3"/>
  <c r="B54" i="3"/>
  <c r="A54" i="3"/>
  <c r="E53" i="3"/>
  <c r="D53" i="3"/>
  <c r="C53" i="3"/>
  <c r="B53" i="3"/>
  <c r="A53" i="3"/>
  <c r="G52" i="3"/>
  <c r="E52" i="3"/>
  <c r="D52" i="3"/>
  <c r="C52" i="3"/>
  <c r="B52" i="3"/>
  <c r="A52" i="3"/>
  <c r="G51" i="3"/>
  <c r="D51" i="3"/>
  <c r="C51" i="3"/>
  <c r="B51" i="3"/>
  <c r="A51" i="3"/>
  <c r="G50" i="3"/>
  <c r="D50" i="3"/>
  <c r="C50" i="3"/>
  <c r="B50" i="3"/>
  <c r="A50" i="3"/>
  <c r="G49" i="3"/>
  <c r="D49" i="3"/>
  <c r="C49" i="3"/>
  <c r="B49" i="3"/>
  <c r="A49" i="3"/>
  <c r="G48" i="3"/>
  <c r="D48" i="3"/>
  <c r="C48" i="3"/>
  <c r="B48" i="3"/>
  <c r="A48" i="3"/>
  <c r="B47" i="3"/>
  <c r="G45" i="3"/>
  <c r="E45" i="3"/>
  <c r="D45" i="3"/>
  <c r="C45" i="3"/>
  <c r="B45" i="3"/>
  <c r="A45" i="3"/>
  <c r="G44" i="3"/>
  <c r="E44" i="3"/>
  <c r="D44" i="3"/>
  <c r="C44" i="3"/>
  <c r="B44" i="3"/>
  <c r="A44" i="3"/>
  <c r="G43" i="3"/>
  <c r="E43" i="3"/>
  <c r="D43" i="3"/>
  <c r="C43" i="3"/>
  <c r="B43" i="3"/>
  <c r="G42" i="3"/>
  <c r="E42" i="3"/>
  <c r="G41" i="3"/>
  <c r="E41" i="3"/>
  <c r="G40" i="3"/>
  <c r="H40" i="3" s="1"/>
  <c r="E40" i="3"/>
  <c r="G39" i="3"/>
  <c r="J39" i="3" s="1"/>
  <c r="E39" i="3"/>
  <c r="G38" i="3"/>
  <c r="E38" i="3"/>
  <c r="H38" i="3" s="1"/>
  <c r="J38" i="3" s="1"/>
  <c r="G36" i="3"/>
  <c r="G35" i="3"/>
  <c r="E35" i="3"/>
  <c r="G34" i="3"/>
  <c r="G33" i="3"/>
  <c r="E33" i="3"/>
  <c r="G31" i="3"/>
  <c r="E31" i="3"/>
  <c r="H31" i="3" s="1"/>
  <c r="J31" i="3" s="1"/>
  <c r="E30" i="3"/>
  <c r="G29" i="3"/>
  <c r="G25" i="3"/>
  <c r="B25" i="3"/>
  <c r="D23" i="3"/>
  <c r="B23" i="3"/>
  <c r="B22" i="3"/>
  <c r="E21" i="3"/>
  <c r="B21" i="3"/>
  <c r="B20" i="3"/>
  <c r="F19" i="3"/>
  <c r="B19" i="3"/>
  <c r="B9" i="3"/>
  <c r="G8" i="3"/>
  <c r="I83" i="2"/>
  <c r="I82" i="2"/>
  <c r="G82" i="2"/>
  <c r="I81" i="2"/>
  <c r="I80" i="2"/>
  <c r="I79" i="2"/>
  <c r="I78" i="2"/>
  <c r="G78" i="2"/>
  <c r="I77" i="2"/>
  <c r="I76" i="2"/>
  <c r="I75" i="2"/>
  <c r="C72" i="2"/>
  <c r="E56" i="3" s="1"/>
  <c r="H56" i="3" s="1"/>
  <c r="J56" i="3" s="1"/>
  <c r="C71" i="2"/>
  <c r="D71" i="2" s="1"/>
  <c r="E55" i="3" s="1"/>
  <c r="C70" i="2"/>
  <c r="D70" i="2" s="1"/>
  <c r="E54" i="3" s="1"/>
  <c r="C69" i="2"/>
  <c r="C68" i="2"/>
  <c r="C67" i="2"/>
  <c r="D67" i="2" s="1"/>
  <c r="E51" i="3" s="1"/>
  <c r="C66" i="2"/>
  <c r="D66" i="2" s="1"/>
  <c r="E50" i="3" s="1"/>
  <c r="H50" i="3" s="1"/>
  <c r="J50" i="3" s="1"/>
  <c r="D65" i="2"/>
  <c r="E49" i="3" s="1"/>
  <c r="C64" i="2"/>
  <c r="E48" i="3" s="1"/>
  <c r="H48" i="3" s="1"/>
  <c r="J48" i="3" s="1"/>
  <c r="D59" i="2"/>
  <c r="D58" i="2"/>
  <c r="E36" i="3" s="1"/>
  <c r="C57" i="2"/>
  <c r="E55" i="2"/>
  <c r="H57" i="3" s="1"/>
  <c r="J57" i="3" s="1"/>
  <c r="C52" i="2"/>
  <c r="C51" i="2"/>
  <c r="E50" i="2"/>
  <c r="G32" i="3" s="1"/>
  <c r="D50" i="2"/>
  <c r="E32" i="3" s="1"/>
  <c r="H32" i="3" s="1"/>
  <c r="J32" i="3" s="1"/>
  <c r="C50" i="2"/>
  <c r="E49" i="2"/>
  <c r="C49" i="2"/>
  <c r="E48" i="2"/>
  <c r="G30" i="3" s="1"/>
  <c r="C48" i="2"/>
  <c r="D46" i="2"/>
  <c r="D45" i="2"/>
  <c r="E34" i="3" s="1"/>
  <c r="H34" i="3" s="1"/>
  <c r="J34" i="3" s="1"/>
  <c r="D44" i="2"/>
  <c r="C13" i="2" s="1"/>
  <c r="D43" i="2"/>
  <c r="G80" i="2" s="1"/>
  <c r="D41" i="2"/>
  <c r="E41" i="2" s="1"/>
  <c r="G28" i="3" s="1"/>
  <c r="A41" i="2"/>
  <c r="B28" i="3" s="1"/>
  <c r="C40" i="2"/>
  <c r="D40" i="2" s="1"/>
  <c r="C39" i="2"/>
  <c r="D39" i="2" s="1"/>
  <c r="C38" i="2"/>
  <c r="D38" i="2" s="1"/>
  <c r="C37" i="2"/>
  <c r="D37" i="2" s="1"/>
  <c r="D34" i="2"/>
  <c r="C33" i="2"/>
  <c r="D33" i="2" s="1"/>
  <c r="E32" i="2"/>
  <c r="C28" i="2"/>
  <c r="C18" i="2"/>
  <c r="C17" i="2"/>
  <c r="C16" i="2" s="1"/>
  <c r="E16" i="2"/>
  <c r="E28" i="2" s="1"/>
  <c r="A16" i="2"/>
  <c r="E13" i="2"/>
  <c r="A13" i="2"/>
  <c r="E9" i="2"/>
  <c r="D9" i="2"/>
  <c r="E23" i="3" s="1"/>
  <c r="C9" i="2"/>
  <c r="C23" i="3" s="1"/>
  <c r="E8" i="2"/>
  <c r="F22" i="3" s="1"/>
  <c r="D8" i="2"/>
  <c r="H22" i="3" s="1"/>
  <c r="I22" i="3" s="1"/>
  <c r="E7" i="2"/>
  <c r="F21" i="3" s="1"/>
  <c r="D7" i="2"/>
  <c r="E6" i="2"/>
  <c r="F20" i="3" s="1"/>
  <c r="D6" i="2"/>
  <c r="E20" i="3" s="1"/>
  <c r="E5" i="2"/>
  <c r="D5" i="2"/>
  <c r="D4" i="2" s="1"/>
  <c r="E4" i="2"/>
  <c r="E3" i="2"/>
  <c r="F16" i="3" s="1"/>
  <c r="H35" i="3" l="1"/>
  <c r="J35" i="3" s="1"/>
  <c r="H29" i="3"/>
  <c r="J29" i="3" s="1"/>
  <c r="H51" i="3"/>
  <c r="J51" i="3" s="1"/>
  <c r="H21" i="3"/>
  <c r="I21" i="3" s="1"/>
  <c r="H23" i="3"/>
  <c r="I23" i="3" s="1"/>
  <c r="H33" i="3"/>
  <c r="J33" i="3" s="1"/>
  <c r="H41" i="3"/>
  <c r="H49" i="3"/>
  <c r="J49" i="3" s="1"/>
  <c r="J40" i="3"/>
  <c r="H52" i="3"/>
  <c r="J52" i="3" s="1"/>
  <c r="H42" i="3"/>
  <c r="H20" i="3"/>
  <c r="I20" i="3" s="1"/>
  <c r="H36" i="3"/>
  <c r="J36" i="3" s="1"/>
  <c r="H54" i="3"/>
  <c r="J54" i="3" s="1"/>
  <c r="J42" i="3"/>
  <c r="H30" i="3"/>
  <c r="J30" i="3" s="1"/>
  <c r="H55" i="3"/>
  <c r="J55" i="3" s="1"/>
  <c r="H53" i="3"/>
  <c r="J53" i="3" s="1"/>
  <c r="H18" i="3"/>
  <c r="I18" i="3" s="1"/>
  <c r="H28" i="3"/>
  <c r="J28" i="3" s="1"/>
  <c r="E37" i="3"/>
  <c r="H37" i="3" s="1"/>
  <c r="J37" i="3" s="1"/>
  <c r="D35" i="2"/>
  <c r="H25" i="3"/>
  <c r="J25" i="3" s="1"/>
  <c r="H24" i="3"/>
  <c r="F4" i="2"/>
  <c r="G77" i="2"/>
  <c r="G81" i="2"/>
  <c r="F17" i="3"/>
  <c r="H17" i="3" s="1"/>
  <c r="I17" i="3" s="1"/>
  <c r="E19" i="3"/>
  <c r="H19" i="3" s="1"/>
  <c r="I19" i="3" s="1"/>
  <c r="J41" i="3"/>
  <c r="G75" i="2"/>
  <c r="G79" i="2"/>
  <c r="G83" i="2"/>
  <c r="H39" i="3"/>
  <c r="C2" i="2"/>
  <c r="H16" i="3"/>
  <c r="G76" i="2"/>
  <c r="J24" i="3" l="1"/>
  <c r="J58" i="3" s="1"/>
  <c r="J12" i="3" s="1"/>
  <c r="B24" i="3"/>
  <c r="I16" i="3"/>
  <c r="I58" i="3" s="1"/>
  <c r="J11" i="3" s="1"/>
  <c r="H58" i="3"/>
  <c r="C60" i="3" s="1"/>
  <c r="J10" i="3" l="1"/>
</calcChain>
</file>

<file path=xl/sharedStrings.xml><?xml version="1.0" encoding="utf-8"?>
<sst xmlns="http://schemas.openxmlformats.org/spreadsheetml/2006/main" count="384" uniqueCount="286">
  <si>
    <t>1. Введите общую длину забора</t>
  </si>
  <si>
    <t>да</t>
  </si>
  <si>
    <t>2. Введите высоту забора</t>
  </si>
  <si>
    <t>3. Выберите материал</t>
  </si>
  <si>
    <t>Профнастил</t>
  </si>
  <si>
    <t>Штакет</t>
  </si>
  <si>
    <t>ШТ Шахматка</t>
  </si>
  <si>
    <t>4. Выберете ширину зазора между штакетом</t>
  </si>
  <si>
    <t>Профлист RAL 0.45мм профиль С8</t>
  </si>
  <si>
    <t>6. Выберите цвет RAL финишного покрытия</t>
  </si>
  <si>
    <t>RAL 8017</t>
  </si>
  <si>
    <t>7. Выберите способ крепления</t>
  </si>
  <si>
    <t>Саморез кровельный в цвет</t>
  </si>
  <si>
    <t>8. Выберите наличие ворот и калиток и количество</t>
  </si>
  <si>
    <t>Калитка</t>
  </si>
  <si>
    <t>Ворота откатные</t>
  </si>
  <si>
    <t>Ворота распашные</t>
  </si>
  <si>
    <t>9. Выберите столбы</t>
  </si>
  <si>
    <t>Столб заборный 60х60х2мм</t>
  </si>
  <si>
    <t>Столб заборный 73мм НКТ</t>
  </si>
  <si>
    <t>Столб заборный 60х40х2мм</t>
  </si>
  <si>
    <t>Столб заборный 80х80х2мм</t>
  </si>
  <si>
    <t>10. Количество рядов лаг</t>
  </si>
  <si>
    <t>2 ряда</t>
  </si>
  <si>
    <t>3 ряда</t>
  </si>
  <si>
    <t>11. Расстояние до объекта</t>
  </si>
  <si>
    <t>12. Расcчитать фундамент (Поставьте галочку и введите параметры ниже):</t>
  </si>
  <si>
    <t>Длина (м.п.)</t>
  </si>
  <si>
    <t>Ширина (метров)</t>
  </si>
  <si>
    <t>Высота (метров)</t>
  </si>
  <si>
    <t>Адрес объекта</t>
  </si>
  <si>
    <t>КП Заповедник парк Совята уч 81</t>
  </si>
  <si>
    <t>Контактное лицо и телефон</t>
  </si>
  <si>
    <t>Борис Борисович +7-912-297-11-79</t>
  </si>
  <si>
    <t>Расчет показателей</t>
  </si>
  <si>
    <t>кол-во</t>
  </si>
  <si>
    <t>цена</t>
  </si>
  <si>
    <t>Количество столбов под забор</t>
  </si>
  <si>
    <t>Цена установки столбов</t>
  </si>
  <si>
    <t>Монтаж забора</t>
  </si>
  <si>
    <t>Монтаж ворот откатных</t>
  </si>
  <si>
    <t>Монтаж ворот распашных</t>
  </si>
  <si>
    <t>Монтаж калитки</t>
  </si>
  <si>
    <t>Покраска металлоконструкции</t>
  </si>
  <si>
    <t>Монтажные работы по заливке фундамента</t>
  </si>
  <si>
    <t>Расчет финишного материала</t>
  </si>
  <si>
    <t>Профлист</t>
  </si>
  <si>
    <t>Ширина</t>
  </si>
  <si>
    <t>Зазор</t>
  </si>
  <si>
    <t>Шахматка</t>
  </si>
  <si>
    <t>Саморез с пресс-шайбой</t>
  </si>
  <si>
    <t>саморез</t>
  </si>
  <si>
    <t>Штакетник</t>
  </si>
  <si>
    <t>Наибольшее значение</t>
  </si>
  <si>
    <t>Каркас ворот распашных с доборными элементами стандартный размер</t>
  </si>
  <si>
    <t>Количество столбов под ворота и калитки</t>
  </si>
  <si>
    <t>Электроды</t>
  </si>
  <si>
    <t>Краска</t>
  </si>
  <si>
    <t>Лага заборная 40х20х3000мм стенка 1,5мм</t>
  </si>
  <si>
    <t>Цемент</t>
  </si>
  <si>
    <t>Щебень</t>
  </si>
  <si>
    <t>Отсев</t>
  </si>
  <si>
    <t>Доставка+ГСМ монтажников</t>
  </si>
  <si>
    <t>Диски отрезные 125х1,2</t>
  </si>
  <si>
    <t>Валик с бюгелем полиакриловый</t>
  </si>
  <si>
    <t>Цинк холодный в далончике для обработки швов</t>
  </si>
  <si>
    <t>Ветошь для обработки перед нанесением ЛКМ</t>
  </si>
  <si>
    <t>Обезжириватель для обработки перед нанесением ЛКМ</t>
  </si>
  <si>
    <t>Фундамент</t>
  </si>
  <si>
    <t>Бетон марки М300 W8 степень текучести Р4</t>
  </si>
  <si>
    <t>Доска 40х200х6000 естественной влажности для опалубки</t>
  </si>
  <si>
    <t>Фиксатор арматуры стульчик</t>
  </si>
  <si>
    <t>Фиксатор арматуры звездочка</t>
  </si>
  <si>
    <t>Пленка техническая 150мкр рукав 1,5 метра</t>
  </si>
  <si>
    <t>Саморезы для опалубки</t>
  </si>
  <si>
    <t>Арматура 12 мм А500С ГОСТ 52544-2006</t>
  </si>
  <si>
    <t>Катанка 6.5 мм для поперечного сечения</t>
  </si>
  <si>
    <t xml:space="preserve">Проволка для связки опалубки 3мм катанка
</t>
  </si>
  <si>
    <t>ширина</t>
  </si>
  <si>
    <t>зазор</t>
  </si>
  <si>
    <t>ширина+зазор</t>
  </si>
  <si>
    <t>количество</t>
  </si>
  <si>
    <t>округлвверх</t>
  </si>
  <si>
    <t>цена(*высота)</t>
  </si>
  <si>
    <t>Профлист оцинкованный 0,4</t>
  </si>
  <si>
    <t>Профлист оцинкованный 0,45</t>
  </si>
  <si>
    <t>Профлист оцинкованный 0,5</t>
  </si>
  <si>
    <t>Профлист RAL 0,4</t>
  </si>
  <si>
    <t>Профлист RAL 0,45</t>
  </si>
  <si>
    <t>Профлист RAL 0,5</t>
  </si>
  <si>
    <t>Профлист покрытие Printech</t>
  </si>
  <si>
    <t>Профлист двухсторонний 0,45</t>
  </si>
  <si>
    <t>Профлист двухсторонний под дерево 0,45</t>
  </si>
  <si>
    <t>Штакет оцинкованный 75</t>
  </si>
  <si>
    <t>Штакет оцинкованный 100</t>
  </si>
  <si>
    <t>Штакет оцинкованный 110</t>
  </si>
  <si>
    <t>Штакет оцинкованный 120</t>
  </si>
  <si>
    <t>Штакет оцинкованный 131</t>
  </si>
  <si>
    <t>Штакет покрытие Printech одностороннее 75</t>
  </si>
  <si>
    <t>Штакет покрытие Printech одностороннее 100</t>
  </si>
  <si>
    <t>Штакет покрытие Printech одностороннее 110</t>
  </si>
  <si>
    <t>Штакет покрытие Printech одностороннее 120</t>
  </si>
  <si>
    <t>Штакет покрытие Printech одностороннее 131</t>
  </si>
  <si>
    <t>Штакет покрытие Printech двухстороннее 75</t>
  </si>
  <si>
    <t>Штакет покрытие Printech двухстороннее 100</t>
  </si>
  <si>
    <t>Штакет покрытие Printech двухстороннее 110</t>
  </si>
  <si>
    <t>Штакет покрытие Printech двухстороннее 120</t>
  </si>
  <si>
    <t>Штакет покрытие Printech двухстороннее 131</t>
  </si>
  <si>
    <t>Штакет покрытие односторонний 75</t>
  </si>
  <si>
    <t>Штакет полиэстер односторонний 100</t>
  </si>
  <si>
    <t>Штакет полиэстер односторонний 110</t>
  </si>
  <si>
    <t>Штакет полиэстер односторонний 120</t>
  </si>
  <si>
    <t>Штакет покрытие односторонний 131</t>
  </si>
  <si>
    <t>Штакет покрытие двухсторонний 75</t>
  </si>
  <si>
    <t>Штакет полиэстер двухсторонний 100</t>
  </si>
  <si>
    <t>Штакет полиэстер двухсторонний 110</t>
  </si>
  <si>
    <t>Штакет полиэстер двухсторонний 120</t>
  </si>
  <si>
    <t>Штакет покрытие двухсторонний 131</t>
  </si>
  <si>
    <t>Общество с ограниченной ответственностью</t>
  </si>
  <si>
    <t>"Дача 2000"</t>
  </si>
  <si>
    <t>624091, Свердловская обл., г. Екатеринбург, ул. 8 Марта, д. 207, оф. 27.</t>
  </si>
  <si>
    <t>Калькуляция №1</t>
  </si>
  <si>
    <t>Наименование объекта: Монтаж забора</t>
  </si>
  <si>
    <t>Забор из штакетника в шахматном порядке с шагом 4см.</t>
  </si>
  <si>
    <t>Сметная стоимость:</t>
  </si>
  <si>
    <t>Стоимость работы:</t>
  </si>
  <si>
    <t>Стоимость материалов:</t>
  </si>
  <si>
    <t>№ п/п</t>
  </si>
  <si>
    <t>Наименование работ и затрат</t>
  </si>
  <si>
    <t>Ед. изм.</t>
  </si>
  <si>
    <t>Коэфф</t>
  </si>
  <si>
    <t>Стоимость единицы, руб</t>
  </si>
  <si>
    <t>Общая стоимость, руб</t>
  </si>
  <si>
    <t>Кол-во</t>
  </si>
  <si>
    <t>в т.ч.:</t>
  </si>
  <si>
    <t>Всего</t>
  </si>
  <si>
    <t>Стоимость работ</t>
  </si>
  <si>
    <t>Стоимость материала</t>
  </si>
  <si>
    <t>Монтаж столбов на глубину бурения. Выставление по уровню в 2 осях, с заливкой бетоном. Расстояние по осям не более 3х метров.</t>
  </si>
  <si>
    <t>шт.</t>
  </si>
  <si>
    <t>Бурение отверстий в грунте глубиной 1500мм</t>
  </si>
  <si>
    <t>шт</t>
  </si>
  <si>
    <t>м.п.</t>
  </si>
  <si>
    <t>Столб под ворота и калитки 80х80х3000 стенка 2мм</t>
  </si>
  <si>
    <t>Электроды сварочные Ок-46 3мм</t>
  </si>
  <si>
    <t>Краска грунт эмаль по ржавчине 3в1</t>
  </si>
  <si>
    <t>Каркас ворот откатных с доборными элементами и швеллером стандартный размер</t>
  </si>
  <si>
    <t>Каркас калитки стандартный размер</t>
  </si>
  <si>
    <t>Валик полиакрил в комплекте с бюгелем</t>
  </si>
  <si>
    <t>Заглушки для столбов в подарок</t>
  </si>
  <si>
    <t>Замок в калитку с ручкой (цилиндр и механизм Zn)</t>
  </si>
  <si>
    <t>Цинк холодный в балончике для обработки швов</t>
  </si>
  <si>
    <t>ИТОГО:</t>
  </si>
  <si>
    <t>Стоимость строительных работ забора по адресу:</t>
  </si>
  <si>
    <t>СОГЛАСОВАНО :</t>
  </si>
  <si>
    <t>Подрядчик:</t>
  </si>
  <si>
    <t>ООО "Дача 2000"</t>
  </si>
  <si>
    <t>Заказчик:</t>
  </si>
  <si>
    <t>_____________________________</t>
  </si>
  <si>
    <t>_______________________________</t>
  </si>
  <si>
    <t>М.П.</t>
  </si>
  <si>
    <t>Замок в калитку</t>
  </si>
  <si>
    <t>Ворота откатные со швеллером балкой и роликами</t>
  </si>
  <si>
    <t>Ворота распашные стандарт</t>
  </si>
  <si>
    <t>Калитка стандарт</t>
  </si>
  <si>
    <t>Столб 60х60х2мм</t>
  </si>
  <si>
    <t>Столб 73мм НКТ</t>
  </si>
  <si>
    <t>Столб 60х40х2мм</t>
  </si>
  <si>
    <t>Столб 80х80х2мм</t>
  </si>
  <si>
    <t>Профнастил, цена за м2</t>
  </si>
  <si>
    <t>Лаги</t>
  </si>
  <si>
    <t>Столбы:</t>
  </si>
  <si>
    <t>цена м.п.</t>
  </si>
  <si>
    <t>Столб (профильная труба) 60х60 станка 2мм под покраску</t>
  </si>
  <si>
    <t>Столб НКТ диаметр 73мм толщина стенки 5,5мм под покраску</t>
  </si>
  <si>
    <t>Столб НКТ диаметр 60мм толщина стенки 5мм под покраску</t>
  </si>
  <si>
    <t>Столб (профильная труба) 60х40 станка 2мм под покраску</t>
  </si>
  <si>
    <t>Столб (профильная труба) 80х80 станка 2мм под покраску</t>
  </si>
  <si>
    <t>Столб (профильная труба) 100х100 станка 2мм под покраску</t>
  </si>
  <si>
    <t>Столб каменное дерево EcoGreen 95х95х3000</t>
  </si>
  <si>
    <t>Столб каменное дерево EcoBurn 100х100х3000</t>
  </si>
  <si>
    <t>Столб (профильная труба) 60х40 станка 1,5мм ППЛД</t>
  </si>
  <si>
    <t>Столб (профильная труба) 60х60 станка 1,5мм ППЛД</t>
  </si>
  <si>
    <t>Столб (профильная труба) 62х55 станка 1,5мм ППЛД</t>
  </si>
  <si>
    <t>Столб (профильная труба) 60х60 станка 2мм ППЛД</t>
  </si>
  <si>
    <t>Лага заборная 40х20х3000 под покраску</t>
  </si>
  <si>
    <t>Финишный материал:</t>
  </si>
  <si>
    <t>цена за ед. измерения</t>
  </si>
  <si>
    <t>Профлист оцинкованный 0.4мм профиль С8</t>
  </si>
  <si>
    <t>Профлист оцинкованный 0.45мм профиль С8</t>
  </si>
  <si>
    <t>Профлист оцинкованный 0.5мм профиль С8</t>
  </si>
  <si>
    <t>Профлист RAL 0.4мм профиль С8</t>
  </si>
  <si>
    <t>Профлист RAL 0.5мм профиль С8</t>
  </si>
  <si>
    <t>Профлист RAL 0.4мм 2х сторонний профиль С8</t>
  </si>
  <si>
    <t>Профлист RAL 0.45мм 2х сторонний профиль С8</t>
  </si>
  <si>
    <t>Профлист RAL 0.5мм 2х сторонний профиль С8</t>
  </si>
  <si>
    <t>Профлист двухсторонний 0.45мм профиль С8</t>
  </si>
  <si>
    <t>Профлист двухсторонний под дерево 0.45мм профиль С8</t>
  </si>
  <si>
    <t>Штакет покрытие Printech одностороннее 75 Корея</t>
  </si>
  <si>
    <t>Штакет покрытие Printech одностороннее 100 Корея</t>
  </si>
  <si>
    <t>Штакет покрытие Printech одностороннее 110 Корея</t>
  </si>
  <si>
    <t>Штакет покрытие Printech одностороннее 120 Корея</t>
  </si>
  <si>
    <t>Штакет покрытие Printech одностороннее 131 Корея</t>
  </si>
  <si>
    <t>Штакет покрытие Printech двухстороннее 75 Корея</t>
  </si>
  <si>
    <t>Штакет покрытие Printech двухстороннее 100 Корея</t>
  </si>
  <si>
    <t>Штакет покрытие Printech двухстороннее 110 Корея</t>
  </si>
  <si>
    <t>Штакет покрытие Printech двухстороннее 120 Корея</t>
  </si>
  <si>
    <t>Штакет покрытие Printech двухстороннее 131 Корея</t>
  </si>
  <si>
    <t>Каменное дерево EcoGreen 20х95х1500</t>
  </si>
  <si>
    <t>Каменное дерево EcoGreen 20х95х2000</t>
  </si>
  <si>
    <t>Каменное дерево EcoGreen 20х95х3000</t>
  </si>
  <si>
    <t>Каменное дерево EcoGreen 20х120х1500</t>
  </si>
  <si>
    <t>Каменное дерево EcoGreen 20х120х2000</t>
  </si>
  <si>
    <t>Каменное дерево EcoGreen 20х120х3000</t>
  </si>
  <si>
    <t>Каменное дерево EcoBurn 25х100х1500</t>
  </si>
  <si>
    <t>Каменное дерево EcoBurn 25х100х2000</t>
  </si>
  <si>
    <t>Каменное дерево EcoBurn 25х100х3000</t>
  </si>
  <si>
    <t>Каменное дерево EcoBurn 25х125х1500</t>
  </si>
  <si>
    <t>Каменное дерево EcoBurn 25х125х2000</t>
  </si>
  <si>
    <t>Каменное дерево EcoBurn 25х125х3000</t>
  </si>
  <si>
    <t>Панель 3D 1530х2500 Ral 6005 пруток 3мм</t>
  </si>
  <si>
    <t>Панель 3D 1530х2500 Ral 6005 пруток 3,8мм</t>
  </si>
  <si>
    <t>Панель 3D 1530х2500 Ral 6005 пруток 4мм</t>
  </si>
  <si>
    <t>Панель 3D 1530х2500 Ral 6005 пруток 4,8мм</t>
  </si>
  <si>
    <t>Панель 3D 1730х2500 Ral 6005 пруток 3мм</t>
  </si>
  <si>
    <t>Панель 3D 1730х2500 Ral 6005 пруток 3,8мм</t>
  </si>
  <si>
    <t>Панель 3D 1730х2500 Ral 6005 пруток 4мм</t>
  </si>
  <si>
    <t>Панель 3D 1730х2500 Ral 6005 пруток 4,8мм</t>
  </si>
  <si>
    <t>Панель 3D 2030х2500 Ral 6005 пруток 3мм</t>
  </si>
  <si>
    <t>Панель 3D 2030х2500 Ral 6005 пруток 3,8мм</t>
  </si>
  <si>
    <t>Панель 3D 2030х2500 Ral 6005 пруток 4мм</t>
  </si>
  <si>
    <t>Панель 3D 2030х2500 Ral 6005 пруток 4,8мм</t>
  </si>
  <si>
    <t>Панель 3D 1530х3000 Ral 6005 пруток 3мм</t>
  </si>
  <si>
    <t>Панель 3D 1530х3000 Ral 6005 пруток 3,8мм</t>
  </si>
  <si>
    <t>Панель 3D 1530х3000 Ral 6005 пруток 4мм</t>
  </si>
  <si>
    <t>Панель 3D 1530х3000 Ral 6005 пруток 4,8мм</t>
  </si>
  <si>
    <t>Панель 3D 1730х3000 Ral 6005 пруток 3мм</t>
  </si>
  <si>
    <t>Панель 3D 1730х3000 Ral 6005 пруток 3,8мм</t>
  </si>
  <si>
    <t>Панель 3D 1730х3000 Ral 6005 пруток 4мм</t>
  </si>
  <si>
    <t>Панель 3D 1730х3000 Ral 6005 пруток 4,8мм</t>
  </si>
  <si>
    <t>Панель 3D 2030х3000 Ral 6005 пруток 3мм</t>
  </si>
  <si>
    <t>Панель 3D 2030х3000 Ral 6005 пруток 3,8мм</t>
  </si>
  <si>
    <t>Панель 3D 2030х3000 Ral 6005 пруток 4мм</t>
  </si>
  <si>
    <t>Панель 3D 2030х3000 Ral 6005 пруток 4,8мм</t>
  </si>
  <si>
    <t>Гамма 156мм п/э</t>
  </si>
  <si>
    <t>Гамма 156мм ППЛД</t>
  </si>
  <si>
    <t>Гамма 156мм структ мат</t>
  </si>
  <si>
    <t>Гамма 156мм под дерево</t>
  </si>
  <si>
    <t>Твинго 55мм п/э</t>
  </si>
  <si>
    <t>Твинго 55мм ППЛД</t>
  </si>
  <si>
    <t>Твинго 55мм структ мат</t>
  </si>
  <si>
    <t>Твинго 55мм под дерево</t>
  </si>
  <si>
    <t>Твинго Max 75мм п/э</t>
  </si>
  <si>
    <t>Твинго Max 75мм ППЛД</t>
  </si>
  <si>
    <t>Твинго Max 75мм структ мат</t>
  </si>
  <si>
    <t>Твинго Max 75мм под дерево</t>
  </si>
  <si>
    <t>Royal Zn</t>
  </si>
  <si>
    <t>Royal    п/э 1 сторонний</t>
  </si>
  <si>
    <t>Royal    п/э 2х сторонний</t>
  </si>
  <si>
    <t>Royal    стальной бархат 1 сторонний</t>
  </si>
  <si>
    <t>Royal    стальной бархат 2х сторонний</t>
  </si>
  <si>
    <t>Royal    printech 1 сторонний</t>
  </si>
  <si>
    <t>Royal    printech  2х сторонний</t>
  </si>
  <si>
    <t>Royal    printech 1 сторонний Корея</t>
  </si>
  <si>
    <t>Royal    printech  2х сторонний Корея</t>
  </si>
  <si>
    <t>Расходные материалы</t>
  </si>
  <si>
    <t>Цемент ЦЕМ II/А-И 42,5Н, М-500, Д20, 50к</t>
  </si>
  <si>
    <t>Щебень фракция 20-40 50кг.</t>
  </si>
  <si>
    <t>Отсев 50кг</t>
  </si>
  <si>
    <t>Щебень фракция 20-40 для замещения грунта</t>
  </si>
  <si>
    <t>Краска грунт эмаль 3в1 Dali в цвет финишгого материала или грунта</t>
  </si>
  <si>
    <t>Каркас калитка шарнирами</t>
  </si>
  <si>
    <t>Каркас ворот распашных с шарнирами 4шт; фиксаторы створок 3шт; 2 проушины под замок (замок в подарок)</t>
  </si>
  <si>
    <t>Каркас ворот откатных включая раму; балку и коплектующие балки; регулируемые пластины; швеллер 180мм; метал под противовес.</t>
  </si>
  <si>
    <t>Замок в калитку с механизмом и ручкой цвет (коричневый или белый)</t>
  </si>
  <si>
    <t>Саморезы с пресшайбой в цвет финишного материала</t>
  </si>
  <si>
    <t>Саморез кровельный в цвет финишного материала</t>
  </si>
  <si>
    <t>Клепка 3.3х6 в цвет финишного материала</t>
  </si>
  <si>
    <t>Мусорные мешки под мусор</t>
  </si>
  <si>
    <t>Заглушки в столбы (в подарок)</t>
  </si>
  <si>
    <t>Крепления для забора 3Д</t>
  </si>
  <si>
    <t>Бетонные работы:</t>
  </si>
  <si>
    <t>Проволка для связки опалубки 3мм катанка</t>
  </si>
  <si>
    <t>Саморез с пресшайбой</t>
  </si>
  <si>
    <t>Привод для откатных ворот</t>
  </si>
  <si>
    <t>Штакет 131мм под дерево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</si>
</sst>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[$ ₽]"/>
    <numFmt numFmtId="167" formatCode="0;\-0;;@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Inconsolata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theme="0"/>
      <name val="Arial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21">
    <border>
      <left/>
      <right/>
      <top/>
      <bottom/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 style="thick">
        <color rgb="FF999999"/>
      </left>
      <right/>
      <top style="thick">
        <color rgb="FF999999"/>
      </top>
      <bottom style="thick">
        <color rgb="FF999999"/>
      </bottom>
      <diagonal/>
    </border>
    <border>
      <left/>
      <right/>
      <top style="thick">
        <color rgb="FF999999"/>
      </top>
      <bottom style="thick">
        <color rgb="FF999999"/>
      </bottom>
      <diagonal/>
    </border>
    <border>
      <left/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/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64" fontId="1" fillId="0" borderId="0" xfId="0" applyNumberFormat="1" applyFont="1"/>
    <xf numFmtId="0" fontId="3" fillId="0" borderId="0" xfId="0" applyFont="1"/>
    <xf numFmtId="0" fontId="4" fillId="3" borderId="0" xfId="0" applyFont="1" applyFill="1"/>
    <xf numFmtId="4" fontId="1" fillId="0" borderId="0" xfId="0" applyNumberFormat="1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166" fontId="10" fillId="0" borderId="7" xfId="0" applyNumberFormat="1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/>
    </xf>
    <xf numFmtId="4" fontId="8" fillId="5" borderId="17" xfId="0" applyNumberFormat="1" applyFont="1" applyFill="1" applyBorder="1" applyAlignment="1">
      <alignment horizontal="right" vertical="center"/>
    </xf>
    <xf numFmtId="4" fontId="8" fillId="5" borderId="17" xfId="0" applyNumberFormat="1" applyFont="1" applyFill="1" applyBorder="1" applyAlignment="1">
      <alignment vertical="center"/>
    </xf>
    <xf numFmtId="0" fontId="8" fillId="5" borderId="17" xfId="0" applyFont="1" applyFill="1" applyBorder="1" applyAlignment="1">
      <alignment vertical="center" wrapText="1"/>
    </xf>
    <xf numFmtId="4" fontId="8" fillId="5" borderId="18" xfId="0" applyNumberFormat="1" applyFont="1" applyFill="1" applyBorder="1" applyAlignment="1">
      <alignment vertical="center"/>
    </xf>
    <xf numFmtId="0" fontId="1" fillId="0" borderId="8" xfId="0" applyFont="1" applyBorder="1"/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6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5" fillId="0" borderId="0" xfId="0" applyFont="1"/>
    <xf numFmtId="0" fontId="5" fillId="0" borderId="0" xfId="0" applyFont="1" applyAlignment="1">
      <alignment horizontal="right"/>
    </xf>
    <xf numFmtId="0" fontId="8" fillId="5" borderId="16" xfId="0" applyFont="1" applyFill="1" applyBorder="1" applyAlignment="1">
      <alignment horizontal="center" vertical="center"/>
    </xf>
    <xf numFmtId="167" fontId="8" fillId="5" borderId="16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8" fillId="0" borderId="8" xfId="0" applyNumberFormat="1" applyFont="1" applyBorder="1" applyAlignment="1">
      <alignment vertical="center"/>
    </xf>
    <xf numFmtId="167" fontId="8" fillId="5" borderId="11" xfId="0" applyNumberFormat="1" applyFont="1" applyFill="1" applyBorder="1" applyAlignment="1">
      <alignment horizontal="left" vertical="center"/>
    </xf>
    <xf numFmtId="167" fontId="8" fillId="5" borderId="11" xfId="0" applyNumberFormat="1" applyFont="1" applyFill="1" applyBorder="1" applyAlignment="1">
      <alignment horizontal="center" vertical="center"/>
    </xf>
    <xf numFmtId="167" fontId="8" fillId="5" borderId="11" xfId="0" applyNumberFormat="1" applyFont="1" applyFill="1" applyBorder="1" applyAlignment="1">
      <alignment vertical="center"/>
    </xf>
    <xf numFmtId="0" fontId="10" fillId="0" borderId="20" xfId="0" applyFont="1" applyBorder="1" applyAlignment="1">
      <alignment horizontal="right" vertical="center"/>
    </xf>
    <xf numFmtId="0" fontId="13" fillId="0" borderId="20" xfId="0" applyFont="1" applyBorder="1" applyAlignment="1">
      <alignment horizontal="center"/>
    </xf>
    <xf numFmtId="0" fontId="1" fillId="0" borderId="20" xfId="0" applyFont="1" applyBorder="1"/>
    <xf numFmtId="0" fontId="10" fillId="0" borderId="17" xfId="0" applyFont="1" applyBorder="1" applyAlignment="1">
      <alignment horizontal="right" vertical="center"/>
    </xf>
    <xf numFmtId="4" fontId="10" fillId="0" borderId="17" xfId="0" applyNumberFormat="1" applyFont="1" applyBorder="1" applyAlignment="1">
      <alignment horizontal="right" vertical="center"/>
    </xf>
    <xf numFmtId="4" fontId="10" fillId="0" borderId="15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vertical="center" wrapText="1"/>
    </xf>
    <xf numFmtId="0" fontId="8" fillId="4" borderId="19" xfId="0" applyFont="1" applyFill="1" applyBorder="1" applyAlignment="1">
      <alignment horizontal="center" vertical="center"/>
    </xf>
    <xf numFmtId="4" fontId="8" fillId="4" borderId="19" xfId="0" applyNumberFormat="1" applyFont="1" applyFill="1" applyBorder="1" applyAlignment="1">
      <alignment vertical="center"/>
    </xf>
    <xf numFmtId="4" fontId="8" fillId="4" borderId="19" xfId="0" applyNumberFormat="1" applyFont="1" applyFill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4" fontId="8" fillId="0" borderId="19" xfId="0" applyNumberFormat="1" applyFont="1" applyBorder="1" applyAlignment="1">
      <alignment vertical="center"/>
    </xf>
    <xf numFmtId="4" fontId="8" fillId="3" borderId="19" xfId="0" applyNumberFormat="1" applyFont="1" applyFill="1" applyBorder="1" applyAlignment="1">
      <alignment horizontal="right" vertical="center"/>
    </xf>
    <xf numFmtId="4" fontId="8" fillId="3" borderId="19" xfId="0" applyNumberFormat="1" applyFont="1" applyFill="1" applyBorder="1" applyAlignment="1">
      <alignment vertical="center"/>
    </xf>
    <xf numFmtId="0" fontId="5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8" fillId="3" borderId="19" xfId="0" applyFont="1" applyFill="1" applyBorder="1" applyAlignment="1">
      <alignment vertical="center" wrapText="1"/>
    </xf>
    <xf numFmtId="0" fontId="8" fillId="3" borderId="19" xfId="0" applyFont="1" applyFill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vertical="center" wrapText="1"/>
    </xf>
    <xf numFmtId="167" fontId="8" fillId="0" borderId="19" xfId="0" applyNumberFormat="1" applyFont="1" applyBorder="1" applyAlignment="1">
      <alignment vertical="center"/>
    </xf>
    <xf numFmtId="0" fontId="3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/>
    </xf>
    <xf numFmtId="167" fontId="1" fillId="0" borderId="19" xfId="0" applyNumberFormat="1" applyFont="1" applyBorder="1" applyAlignment="1">
      <alignment wrapText="1"/>
    </xf>
    <xf numFmtId="167" fontId="5" fillId="0" borderId="19" xfId="0" applyNumberFormat="1" applyFont="1" applyBorder="1" applyAlignment="1">
      <alignment vertical="center" wrapText="1"/>
    </xf>
    <xf numFmtId="167" fontId="5" fillId="0" borderId="19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left"/>
    </xf>
    <xf numFmtId="0" fontId="3" fillId="0" borderId="8" xfId="0" applyFont="1" applyBorder="1" applyAlignment="1">
      <alignment horizontal="center"/>
    </xf>
    <xf numFmtId="0" fontId="2" fillId="0" borderId="9" xfId="0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5" xfId="0" applyFont="1" applyBorder="1"/>
    <xf numFmtId="0" fontId="10" fillId="0" borderId="12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6" xfId="0" applyFont="1" applyBorder="1"/>
    <xf numFmtId="0" fontId="10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right"/>
    </xf>
    <xf numFmtId="0" fontId="2" fillId="0" borderId="10" xfId="0" applyFont="1" applyBorder="1"/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219075</xdr:colOff>
      <xdr:row>1</xdr:row>
      <xdr:rowOff>161925</xdr:rowOff>
    </xdr:from>
    <xdr:ext cx="2390775" cy="619125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753475" y="428625"/>
          <a:ext cx="2390775" cy="619125"/>
          <a:chOff x="152400" y="152400"/>
          <a:chExt cx="4076700" cy="1047750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4076700" cy="1047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1000125</xdr:colOff>
      <xdr:row>0</xdr:row>
      <xdr:rowOff>200025</xdr:rowOff>
    </xdr:from>
    <xdr:ext cx="1600200" cy="1000125"/>
    <xdr:grpSp>
      <xdr:nvGrpSpPr>
        <xdr:cNvPr id="4" name="Shape 2" title="Рисунок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355725" y="200025"/>
          <a:ext cx="1600200" cy="1000125"/>
          <a:chOff x="152400" y="152400"/>
          <a:chExt cx="3533775" cy="2190750"/>
        </a:xfrm>
      </xdr:grpSpPr>
      <xdr:pic>
        <xdr:nvPicPr>
          <xdr:cNvPr id="5" name="Shap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3533775" cy="2190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"/>
  <sheetViews>
    <sheetView workbookViewId="0">
      <selection sqref="A1:C1"/>
    </sheetView>
  </sheetViews>
  <sheetFormatPr baseColWidth="10" defaultColWidth="12.6640625" defaultRowHeight="15.75" customHeight="1" outlineLevelRow="1" x14ac:dyDescent="0.15"/>
  <cols>
    <col min="1" max="1" width="35.83203125" customWidth="1"/>
  </cols>
  <sheetData>
    <row r="1" spans="1:4" ht="13" x14ac:dyDescent="0.15">
      <c r="A1" s="90" t="s">
        <v>0</v>
      </c>
      <c r="B1" s="91"/>
      <c r="C1" s="91"/>
      <c r="D1" s="1" t="s">
        <v>1</v>
      </c>
    </row>
    <row r="2" spans="1:4" ht="13" x14ac:dyDescent="0.15">
      <c r="A2" s="2">
        <v>128</v>
      </c>
      <c r="B2" s="3"/>
      <c r="C2" s="3"/>
    </row>
    <row r="3" spans="1:4" ht="13" x14ac:dyDescent="0.15">
      <c r="A3" s="90" t="s">
        <v>2</v>
      </c>
      <c r="B3" s="91"/>
      <c r="C3" s="91"/>
    </row>
    <row r="4" spans="1:4" ht="13" x14ac:dyDescent="0.15">
      <c r="A4" s="2">
        <v>2</v>
      </c>
      <c r="B4" s="3"/>
      <c r="C4" s="3"/>
    </row>
    <row r="5" spans="1:4" ht="13" x14ac:dyDescent="0.15">
      <c r="A5" s="90" t="s">
        <v>3</v>
      </c>
      <c r="B5" s="91"/>
      <c r="C5" s="91"/>
    </row>
    <row r="6" spans="1:4" ht="13" x14ac:dyDescent="0.15">
      <c r="A6" s="4" t="s">
        <v>4</v>
      </c>
      <c r="B6" s="4" t="s">
        <v>5</v>
      </c>
      <c r="C6" s="4" t="s">
        <v>6</v>
      </c>
    </row>
    <row r="7" spans="1:4" ht="13" x14ac:dyDescent="0.15">
      <c r="A7" s="1" t="b">
        <v>1</v>
      </c>
      <c r="B7" s="1" t="b">
        <v>0</v>
      </c>
      <c r="C7" s="1" t="b">
        <v>0</v>
      </c>
    </row>
    <row r="8" spans="1:4" ht="13" x14ac:dyDescent="0.15">
      <c r="A8" s="90" t="s">
        <v>7</v>
      </c>
      <c r="B8" s="91"/>
      <c r="C8" s="91"/>
    </row>
    <row r="9" spans="1:4" ht="13" x14ac:dyDescent="0.15">
      <c r="A9" s="92">
        <v>0.04</v>
      </c>
      <c r="B9" s="91"/>
      <c r="C9" s="91"/>
    </row>
    <row r="10" spans="1:4" ht="13" x14ac:dyDescent="0.15">
      <c r="A10" s="93" t="s">
        <v>8</v>
      </c>
      <c r="B10" s="91"/>
      <c r="C10" s="91"/>
    </row>
    <row r="12" spans="1:4" ht="13" x14ac:dyDescent="0.15">
      <c r="A12" s="90" t="s">
        <v>9</v>
      </c>
      <c r="B12" s="91"/>
      <c r="C12" s="91"/>
    </row>
    <row r="13" spans="1:4" ht="13" x14ac:dyDescent="0.15">
      <c r="A13" s="93" t="s">
        <v>10</v>
      </c>
      <c r="B13" s="91"/>
      <c r="C13" s="91"/>
    </row>
    <row r="14" spans="1:4" ht="13" x14ac:dyDescent="0.15">
      <c r="A14" s="90" t="s">
        <v>11</v>
      </c>
      <c r="B14" s="91"/>
      <c r="C14" s="91"/>
    </row>
    <row r="15" spans="1:4" ht="13" x14ac:dyDescent="0.15">
      <c r="A15" s="93" t="s">
        <v>12</v>
      </c>
      <c r="B15" s="91"/>
      <c r="C15" s="91"/>
    </row>
    <row r="16" spans="1:4" ht="13" x14ac:dyDescent="0.15">
      <c r="A16" s="90" t="s">
        <v>13</v>
      </c>
      <c r="B16" s="91"/>
      <c r="C16" s="91"/>
    </row>
    <row r="17" spans="1:3" ht="13" x14ac:dyDescent="0.15">
      <c r="A17" s="1" t="s">
        <v>14</v>
      </c>
      <c r="B17" s="1" t="b">
        <v>1</v>
      </c>
      <c r="C17" s="1" t="b">
        <v>0</v>
      </c>
    </row>
    <row r="18" spans="1:3" ht="13" x14ac:dyDescent="0.15">
      <c r="A18" s="1" t="s">
        <v>15</v>
      </c>
      <c r="B18" s="1" t="b">
        <v>1</v>
      </c>
      <c r="C18" s="1" t="b">
        <v>0</v>
      </c>
    </row>
    <row r="19" spans="1:3" ht="13" x14ac:dyDescent="0.15">
      <c r="A19" s="1" t="s">
        <v>16</v>
      </c>
      <c r="B19" s="1" t="b">
        <v>0</v>
      </c>
      <c r="C19" s="1" t="b">
        <v>0</v>
      </c>
    </row>
    <row r="20" spans="1:3" ht="13" x14ac:dyDescent="0.15">
      <c r="A20" s="90" t="s">
        <v>17</v>
      </c>
      <c r="B20" s="91"/>
      <c r="C20" s="91"/>
    </row>
    <row r="21" spans="1:3" ht="13" x14ac:dyDescent="0.15">
      <c r="A21" s="93" t="s">
        <v>18</v>
      </c>
      <c r="B21" s="91"/>
      <c r="C21" s="1" t="b">
        <v>1</v>
      </c>
    </row>
    <row r="22" spans="1:3" ht="13" x14ac:dyDescent="0.15">
      <c r="A22" s="93" t="s">
        <v>19</v>
      </c>
      <c r="B22" s="91"/>
      <c r="C22" s="1" t="b">
        <v>0</v>
      </c>
    </row>
    <row r="23" spans="1:3" ht="13" x14ac:dyDescent="0.15">
      <c r="A23" s="93" t="s">
        <v>20</v>
      </c>
      <c r="B23" s="91"/>
      <c r="C23" s="1" t="b">
        <v>0</v>
      </c>
    </row>
    <row r="24" spans="1:3" ht="13" x14ac:dyDescent="0.15">
      <c r="A24" s="93" t="s">
        <v>21</v>
      </c>
      <c r="B24" s="91"/>
      <c r="C24" s="1" t="b">
        <v>0</v>
      </c>
    </row>
    <row r="25" spans="1:3" ht="13" x14ac:dyDescent="0.15">
      <c r="A25" s="90" t="s">
        <v>22</v>
      </c>
      <c r="B25" s="91"/>
      <c r="C25" s="91"/>
    </row>
    <row r="26" spans="1:3" ht="13" x14ac:dyDescent="0.15">
      <c r="A26" s="93" t="s">
        <v>23</v>
      </c>
      <c r="B26" s="91"/>
      <c r="C26" s="1" t="b">
        <v>1</v>
      </c>
    </row>
    <row r="27" spans="1:3" ht="13" x14ac:dyDescent="0.15">
      <c r="A27" s="93" t="s">
        <v>24</v>
      </c>
      <c r="B27" s="91"/>
      <c r="C27" s="1" t="b">
        <v>0</v>
      </c>
    </row>
    <row r="28" spans="1:3" ht="17.25" customHeight="1" x14ac:dyDescent="0.15">
      <c r="A28" s="90" t="s">
        <v>25</v>
      </c>
      <c r="B28" s="91"/>
      <c r="C28" s="91"/>
    </row>
    <row r="29" spans="1:3" ht="13" x14ac:dyDescent="0.15">
      <c r="A29" s="95">
        <v>60</v>
      </c>
      <c r="B29" s="96"/>
      <c r="C29" s="97"/>
    </row>
    <row r="30" spans="1:3" ht="13" x14ac:dyDescent="0.15">
      <c r="A30" s="94" t="s">
        <v>26</v>
      </c>
      <c r="B30" s="91"/>
      <c r="C30" s="5" t="b">
        <v>1</v>
      </c>
    </row>
    <row r="31" spans="1:3" ht="13" outlineLevel="1" x14ac:dyDescent="0.15">
      <c r="A31" s="98" t="s">
        <v>27</v>
      </c>
      <c r="B31" s="91"/>
      <c r="C31" s="6">
        <v>64</v>
      </c>
    </row>
    <row r="32" spans="1:3" ht="13" outlineLevel="1" x14ac:dyDescent="0.15">
      <c r="A32" s="98" t="s">
        <v>28</v>
      </c>
      <c r="B32" s="91"/>
      <c r="C32" s="7">
        <v>0.25</v>
      </c>
    </row>
    <row r="33" spans="1:3" ht="13" outlineLevel="1" x14ac:dyDescent="0.15">
      <c r="A33" s="98" t="s">
        <v>29</v>
      </c>
      <c r="B33" s="91"/>
      <c r="C33" s="7">
        <v>0.6</v>
      </c>
    </row>
    <row r="34" spans="1:3" ht="13" x14ac:dyDescent="0.15">
      <c r="A34" s="90" t="s">
        <v>30</v>
      </c>
      <c r="B34" s="91"/>
      <c r="C34" s="91"/>
    </row>
    <row r="35" spans="1:3" ht="13" x14ac:dyDescent="0.15">
      <c r="A35" s="95" t="s">
        <v>31</v>
      </c>
      <c r="B35" s="96"/>
      <c r="C35" s="97"/>
    </row>
    <row r="36" spans="1:3" ht="13" x14ac:dyDescent="0.15">
      <c r="A36" s="90" t="s">
        <v>32</v>
      </c>
      <c r="B36" s="91"/>
      <c r="C36" s="91"/>
    </row>
    <row r="37" spans="1:3" ht="13" x14ac:dyDescent="0.15">
      <c r="A37" s="95" t="s">
        <v>33</v>
      </c>
      <c r="B37" s="96"/>
      <c r="C37" s="97"/>
    </row>
  </sheetData>
  <mergeCells count="29">
    <mergeCell ref="A36:C36"/>
    <mergeCell ref="A37:C37"/>
    <mergeCell ref="A23:B23"/>
    <mergeCell ref="A24:B24"/>
    <mergeCell ref="A25:C25"/>
    <mergeCell ref="A26:B26"/>
    <mergeCell ref="A27:B27"/>
    <mergeCell ref="A28:C28"/>
    <mergeCell ref="A29:C29"/>
    <mergeCell ref="A31:B31"/>
    <mergeCell ref="A32:B32"/>
    <mergeCell ref="A33:B33"/>
    <mergeCell ref="A34:C34"/>
    <mergeCell ref="A35:C35"/>
    <mergeCell ref="A16:C16"/>
    <mergeCell ref="A20:C20"/>
    <mergeCell ref="A21:B21"/>
    <mergeCell ref="A22:B22"/>
    <mergeCell ref="A30:B30"/>
    <mergeCell ref="A10:C10"/>
    <mergeCell ref="A12:C12"/>
    <mergeCell ref="A13:C13"/>
    <mergeCell ref="A14:C14"/>
    <mergeCell ref="A15:C15"/>
    <mergeCell ref="A1:C1"/>
    <mergeCell ref="A3:C3"/>
    <mergeCell ref="A5:C5"/>
    <mergeCell ref="A8:C8"/>
    <mergeCell ref="A9:C9"/>
  </mergeCells>
  <dataValidations count="2">
    <dataValidation type="list" allowBlank="1" sqref="A15" xr:uid="{00000000-0002-0000-0000-000000000000}">
      <formula1>"Саморез кровельный в цвет,Саморез с пресс-шайбой"</formula1>
    </dataValidation>
    <dataValidation type="list" allowBlank="1" sqref="A13" xr:uid="{00000000-0002-0000-0000-000003000000}">
      <formula1>"RAL 3005,RAL 5005,RAL 6005,RAL 7024,RAL 8017"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'Параметры для расчета'!$A$19:$A$26</xm:f>
          </x14:formula1>
          <xm:sqref>A9</xm:sqref>
        </x14:dataValidation>
        <x14:dataValidation type="list" allowBlank="1" xr:uid="{00000000-0002-0000-0000-000002000000}">
          <x14:formula1>
            <xm:f>Цены!$A$44:$A$89</xm:f>
          </x14:formula1>
          <xm:sqref>A10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45.83203125" customWidth="1"/>
  </cols>
  <sheetData>
    <row r="1" spans="1:6" ht="15.75" customHeight="1" x14ac:dyDescent="0.15">
      <c r="A1" s="8" t="s">
        <v>34</v>
      </c>
      <c r="B1" s="9"/>
      <c r="C1" s="99" t="s">
        <v>35</v>
      </c>
      <c r="D1" s="100"/>
      <c r="E1" s="9" t="s">
        <v>36</v>
      </c>
    </row>
    <row r="2" spans="1:6" ht="15.75" customHeight="1" x14ac:dyDescent="0.15">
      <c r="A2" s="1" t="s">
        <v>37</v>
      </c>
      <c r="B2" s="10"/>
      <c r="C2" s="10">
        <f>('Ввод информации'!A2-(D43*1)-(D44*4)-(D45*4))/3</f>
        <v>41</v>
      </c>
      <c r="D2" s="1">
        <v>41</v>
      </c>
    </row>
    <row r="3" spans="1:6" ht="15.75" customHeight="1" x14ac:dyDescent="0.15">
      <c r="A3" s="1" t="s">
        <v>38</v>
      </c>
      <c r="B3" s="1"/>
      <c r="C3" s="1"/>
      <c r="E3" s="1">
        <f>IF('Ввод информации'!A2&lt;30,500,IF('Ввод информации'!A2&lt;50,450,400))</f>
        <v>400</v>
      </c>
    </row>
    <row r="4" spans="1:6" ht="15.75" customHeight="1" x14ac:dyDescent="0.15">
      <c r="A4" s="1" t="s">
        <v>39</v>
      </c>
      <c r="B4" s="1"/>
      <c r="C4" s="1"/>
      <c r="D4" s="1">
        <f>'Ввод информации'!A2-(D5*4)-(D6*4)-D7</f>
        <v>123</v>
      </c>
      <c r="E4" s="1">
        <f>IF('Ввод информации'!A2&lt;30,1000,IF('Ввод информации'!A2&lt;50,900,IF('Ввод информации'!A2&lt;100,800,700)))</f>
        <v>700</v>
      </c>
      <c r="F4" s="1">
        <f>E4+150</f>
        <v>850</v>
      </c>
    </row>
    <row r="5" spans="1:6" ht="15.75" customHeight="1" x14ac:dyDescent="0.15">
      <c r="A5" s="1" t="s">
        <v>40</v>
      </c>
      <c r="B5" s="1"/>
      <c r="C5" s="1"/>
      <c r="D5" s="1">
        <f>IF('Ввод информации'!B18,1,0)+IF('Ввод информации'!C18,1,0)</f>
        <v>1</v>
      </c>
      <c r="E5" s="1">
        <f>Цены!C23</f>
        <v>32000</v>
      </c>
    </row>
    <row r="6" spans="1:6" ht="15.75" customHeight="1" x14ac:dyDescent="0.15">
      <c r="A6" s="1" t="s">
        <v>41</v>
      </c>
      <c r="B6" s="1"/>
      <c r="C6" s="1"/>
      <c r="D6" s="1">
        <f>IF('Ввод информации'!B19,1,0)+IF('Ввод информации'!C19,1,0)</f>
        <v>0</v>
      </c>
      <c r="E6" s="1">
        <f>Цены!C24</f>
        <v>7500</v>
      </c>
    </row>
    <row r="7" spans="1:6" ht="15.75" customHeight="1" x14ac:dyDescent="0.15">
      <c r="A7" s="1" t="s">
        <v>42</v>
      </c>
      <c r="B7" s="1"/>
      <c r="C7" s="1"/>
      <c r="D7" s="1">
        <f>IF('Ввод информации'!B17,1,0)+IF('Ввод информации'!C17,1,0)</f>
        <v>1</v>
      </c>
      <c r="E7" s="1">
        <f>Цены!C25</f>
        <v>4500</v>
      </c>
    </row>
    <row r="8" spans="1:6" ht="15.75" customHeight="1" x14ac:dyDescent="0.15">
      <c r="A8" s="1" t="s">
        <v>43</v>
      </c>
      <c r="B8" s="1"/>
      <c r="C8" s="1"/>
      <c r="D8" s="1">
        <f>(D50*3)+(D2*2)+(D43*7)+(D44*70)+(D45*40)</f>
        <v>405</v>
      </c>
      <c r="E8" s="1">
        <f>IF('Ввод информации'!A2&lt;30,50,IF('Ввод информации'!A2&lt;50,30,25))</f>
        <v>25</v>
      </c>
    </row>
    <row r="9" spans="1:6" ht="15.75" customHeight="1" x14ac:dyDescent="0.15">
      <c r="A9" s="1" t="s">
        <v>44</v>
      </c>
      <c r="B9" s="4"/>
      <c r="C9" s="4" t="str">
        <f>IF(C64&gt;8,"м3", IF(C64&lt;8,"м.п."))</f>
        <v>м3</v>
      </c>
      <c r="D9" s="1">
        <f>IF(C64&gt;8,C64, IF(C64&lt;8,'Ввод информации'!C31))</f>
        <v>9.6</v>
      </c>
      <c r="E9" s="1">
        <f>IF(C64&gt;8,4900, IF(C64&lt;8,1900))</f>
        <v>4900</v>
      </c>
    </row>
    <row r="10" spans="1:6" ht="15.75" customHeight="1" x14ac:dyDescent="0.15">
      <c r="B10" s="1"/>
      <c r="C10" s="1"/>
    </row>
    <row r="11" spans="1:6" ht="15.75" customHeight="1" x14ac:dyDescent="0.15">
      <c r="A11" s="11" t="s">
        <v>45</v>
      </c>
    </row>
    <row r="12" spans="1:6" ht="15.75" customHeight="1" x14ac:dyDescent="0.15">
      <c r="A12" s="11" t="s">
        <v>46</v>
      </c>
    </row>
    <row r="13" spans="1:6" ht="15.75" customHeight="1" x14ac:dyDescent="0.15">
      <c r="A13" s="1" t="str">
        <f>IF('Ввод информации'!A7=TRUE,'Ввод информации'!A10, IF('Ввод информации'!A7=FALSE," ", IF('Ввод информации'!B7=TRUE," ",IF('Ввод информации'!C7=TRUE," ", ))))</f>
        <v>Профлист RAL 0.45мм профиль С8</v>
      </c>
      <c r="C13" s="1">
        <f>('Ввод информации'!A2/1.15)+'Параметры для расчета'!D43+'Параметры для расчета'!D44+'Параметры для расчета'!D45</f>
        <v>113.30434782608697</v>
      </c>
      <c r="D13" s="1">
        <v>114</v>
      </c>
      <c r="E13" s="12">
        <f>IFERROR(VLOOKUP(A13,Цены!A44:B54,2,0),0)*'Ввод информации'!A4*1.22</f>
        <v>1134.5999999999999</v>
      </c>
    </row>
    <row r="14" spans="1:6" ht="15.75" customHeight="1" x14ac:dyDescent="0.15">
      <c r="B14" s="10"/>
      <c r="C14" s="10"/>
    </row>
    <row r="15" spans="1:6" ht="15.75" customHeight="1" x14ac:dyDescent="0.15">
      <c r="A15" s="11" t="s">
        <v>5</v>
      </c>
      <c r="B15" s="10"/>
      <c r="C15" s="10"/>
    </row>
    <row r="16" spans="1:6" ht="15.75" customHeight="1" x14ac:dyDescent="0.15">
      <c r="A16" s="1" t="str">
        <f>'Ввод информации'!A10</f>
        <v>Профлист RAL 0.45мм профиль С8</v>
      </c>
      <c r="B16" s="10"/>
      <c r="C16" s="10">
        <f>'Ввод информации'!A2/(C17+C18)</f>
        <v>3200</v>
      </c>
      <c r="D16" s="1">
        <v>3200</v>
      </c>
      <c r="E16" s="1">
        <f>IFERROR(VLOOKUP(A16,Цены!A55:B89,2,0),0)*'Ввод информации'!A4</f>
        <v>0</v>
      </c>
    </row>
    <row r="17" spans="1:5" ht="15.75" customHeight="1" x14ac:dyDescent="0.15">
      <c r="A17" s="1" t="s">
        <v>47</v>
      </c>
      <c r="B17" s="10"/>
      <c r="C17" s="10">
        <f>IFERROR(VLOOKUP(A16,A85:B109,2,0),0)</f>
        <v>0</v>
      </c>
    </row>
    <row r="18" spans="1:5" ht="15.75" customHeight="1" x14ac:dyDescent="0.15">
      <c r="A18" s="1" t="s">
        <v>48</v>
      </c>
      <c r="C18" s="1">
        <f>'Ввод информации'!A9</f>
        <v>0.04</v>
      </c>
    </row>
    <row r="19" spans="1:5" ht="15.75" customHeight="1" x14ac:dyDescent="0.15">
      <c r="A19" s="1">
        <v>0.01</v>
      </c>
      <c r="B19" s="10"/>
      <c r="C19" s="10"/>
    </row>
    <row r="20" spans="1:5" ht="15.75" customHeight="1" x14ac:dyDescent="0.15">
      <c r="A20" s="1">
        <v>0.02</v>
      </c>
      <c r="B20" s="10"/>
      <c r="C20" s="10"/>
    </row>
    <row r="21" spans="1:5" ht="15.75" customHeight="1" x14ac:dyDescent="0.15">
      <c r="A21" s="1">
        <v>0.03</v>
      </c>
      <c r="B21" s="10"/>
      <c r="C21" s="10"/>
    </row>
    <row r="22" spans="1:5" ht="15.75" customHeight="1" x14ac:dyDescent="0.15">
      <c r="A22" s="1">
        <v>0.04</v>
      </c>
      <c r="B22" s="10"/>
      <c r="C22" s="10"/>
    </row>
    <row r="23" spans="1:5" ht="15.75" customHeight="1" x14ac:dyDescent="0.15">
      <c r="A23" s="1">
        <v>0.05</v>
      </c>
      <c r="B23" s="10"/>
      <c r="C23" s="10"/>
    </row>
    <row r="24" spans="1:5" ht="15.75" customHeight="1" x14ac:dyDescent="0.15">
      <c r="A24" s="1">
        <v>0.06</v>
      </c>
      <c r="B24" s="10"/>
      <c r="C24" s="10"/>
    </row>
    <row r="25" spans="1:5" ht="15.75" customHeight="1" x14ac:dyDescent="0.15">
      <c r="A25" s="1">
        <v>7.0000000000000007E-2</v>
      </c>
      <c r="B25" s="10"/>
      <c r="C25" s="10"/>
    </row>
    <row r="26" spans="1:5" ht="15.75" customHeight="1" x14ac:dyDescent="0.15">
      <c r="A26" s="1">
        <v>0.08</v>
      </c>
      <c r="B26" s="10"/>
      <c r="C26" s="10"/>
    </row>
    <row r="27" spans="1:5" ht="15.75" customHeight="1" x14ac:dyDescent="0.15">
      <c r="A27" s="3"/>
      <c r="B27" s="10"/>
      <c r="C27" s="10"/>
    </row>
    <row r="28" spans="1:5" ht="15.75" customHeight="1" x14ac:dyDescent="0.15">
      <c r="A28" s="3" t="s">
        <v>49</v>
      </c>
      <c r="B28" s="10"/>
      <c r="C28" s="10">
        <f>D16*2</f>
        <v>6400</v>
      </c>
      <c r="D28" s="1">
        <v>6400</v>
      </c>
      <c r="E28" s="1">
        <f>E16*2</f>
        <v>0</v>
      </c>
    </row>
    <row r="29" spans="1:5" ht="15.75" customHeight="1" x14ac:dyDescent="0.15">
      <c r="A29" s="1"/>
      <c r="E29" s="1"/>
    </row>
    <row r="30" spans="1:5" ht="15.75" customHeight="1" x14ac:dyDescent="0.15">
      <c r="A30" s="1" t="s">
        <v>12</v>
      </c>
      <c r="E30" s="1">
        <v>3.5</v>
      </c>
    </row>
    <row r="31" spans="1:5" ht="15.75" customHeight="1" x14ac:dyDescent="0.15">
      <c r="A31" s="1" t="s">
        <v>50</v>
      </c>
      <c r="E31" s="1">
        <v>1.5</v>
      </c>
    </row>
    <row r="32" spans="1:5" ht="15.75" customHeight="1" x14ac:dyDescent="0.15">
      <c r="A32" s="1" t="s">
        <v>51</v>
      </c>
      <c r="E32" s="1">
        <f>VLOOKUP('Ввод информации'!A15,A30:E31,5)</f>
        <v>3.5</v>
      </c>
    </row>
    <row r="33" spans="1:6" ht="15.75" customHeight="1" x14ac:dyDescent="0.15">
      <c r="A33" s="1" t="s">
        <v>4</v>
      </c>
      <c r="C33" s="13">
        <f>'Ввод информации'!A2*'Ввод информации'!A4*6</f>
        <v>1536</v>
      </c>
      <c r="D33" s="1">
        <f>ROUNDUP(C33/250,0)*250</f>
        <v>1750</v>
      </c>
    </row>
    <row r="34" spans="1:6" ht="15.75" customHeight="1" x14ac:dyDescent="0.15">
      <c r="A34" s="1" t="s">
        <v>52</v>
      </c>
      <c r="D34" s="1">
        <f>D16*4</f>
        <v>12800</v>
      </c>
    </row>
    <row r="35" spans="1:6" ht="15.75" customHeight="1" x14ac:dyDescent="0.15">
      <c r="A35" s="1" t="s">
        <v>53</v>
      </c>
      <c r="D35" s="1">
        <f>LARGE(D33:D34,1)</f>
        <v>12800</v>
      </c>
    </row>
    <row r="36" spans="1:6" ht="15.75" customHeight="1" x14ac:dyDescent="0.15">
      <c r="A36" s="1"/>
    </row>
    <row r="37" spans="1:6" ht="15.75" customHeight="1" x14ac:dyDescent="0.15">
      <c r="A37" s="1" t="s">
        <v>18</v>
      </c>
      <c r="C37" s="1">
        <f>IF('Ввод информации'!C21,1,0)</f>
        <v>1</v>
      </c>
      <c r="D37" s="1">
        <f>IF(C37,1,0)</f>
        <v>1</v>
      </c>
    </row>
    <row r="38" spans="1:6" ht="15.75" customHeight="1" x14ac:dyDescent="0.15">
      <c r="A38" s="1" t="s">
        <v>19</v>
      </c>
      <c r="C38" s="1">
        <f>IF('Ввод информации'!C22,1,0)</f>
        <v>0</v>
      </c>
      <c r="D38" s="1">
        <f>IF(C38,2,0)</f>
        <v>0</v>
      </c>
    </row>
    <row r="39" spans="1:6" ht="15.75" customHeight="1" x14ac:dyDescent="0.15">
      <c r="A39" s="1" t="s">
        <v>20</v>
      </c>
      <c r="C39" s="1">
        <f>IF('Ввод информации'!C23,1,0)</f>
        <v>0</v>
      </c>
      <c r="D39" s="1">
        <f>IF(C39,3,0)</f>
        <v>0</v>
      </c>
    </row>
    <row r="40" spans="1:6" ht="15.75" customHeight="1" x14ac:dyDescent="0.15">
      <c r="A40" s="1" t="s">
        <v>21</v>
      </c>
      <c r="C40" s="1">
        <f>IF('Ввод информации'!C24,1,0)</f>
        <v>0</v>
      </c>
      <c r="D40" s="1">
        <f>IF(C40,4,0)</f>
        <v>0</v>
      </c>
    </row>
    <row r="41" spans="1:6" ht="15.75" customHeight="1" x14ac:dyDescent="0.15">
      <c r="A41" s="11" t="str">
        <f>IF('Ввод информации'!C21,'Ввод информации'!A21,IF('Ввод информации'!C22,'Ввод информации'!A22,IF('Ввод информации'!C23,'Ввод информации'!A23,IF('Ввод информации'!C24,'Ввод информации'!A24))))</f>
        <v>Столб заборный 60х60х2мм</v>
      </c>
      <c r="D41" s="1">
        <f>IF('Ввод информации'!C21,1,IF('Ввод информации'!C22,2,IF('Ввод информации'!C23,3,IF('Ввод информации'!C24,4))))</f>
        <v>1</v>
      </c>
      <c r="E41" s="1">
        <f>+CHOOSE(D41,Цены!C6,Цены!C7,Цены!C8,Цены!C9)</f>
        <v>944</v>
      </c>
    </row>
    <row r="42" spans="1:6" ht="15.75" customHeight="1" x14ac:dyDescent="0.15">
      <c r="A42" s="1"/>
    </row>
    <row r="43" spans="1:6" ht="15.75" customHeight="1" x14ac:dyDescent="0.15">
      <c r="A43" s="1" t="s">
        <v>14</v>
      </c>
      <c r="D43" s="1">
        <f>IF('Ввод информации'!B17,1,0)+IF('Ввод информации'!C17,1,0)</f>
        <v>1</v>
      </c>
    </row>
    <row r="44" spans="1:6" ht="15.75" customHeight="1" x14ac:dyDescent="0.15">
      <c r="A44" s="1" t="s">
        <v>15</v>
      </c>
      <c r="D44" s="1">
        <f>IF('Ввод информации'!B18,1,0)+IF('Ввод информации'!C18,1,0)</f>
        <v>1</v>
      </c>
    </row>
    <row r="45" spans="1:6" ht="15.75" customHeight="1" x14ac:dyDescent="0.15">
      <c r="A45" s="1" t="s">
        <v>16</v>
      </c>
      <c r="D45" s="1">
        <f>IF('Ввод информации'!B19,1,0)+IF('Ввод информации'!C19,1,0)</f>
        <v>0</v>
      </c>
      <c r="F45" s="1" t="s">
        <v>54</v>
      </c>
    </row>
    <row r="46" spans="1:6" ht="15.75" customHeight="1" x14ac:dyDescent="0.15">
      <c r="A46" s="1" t="s">
        <v>55</v>
      </c>
      <c r="D46" s="1">
        <f>(D43*2)+(D44*2)+(D45*2)</f>
        <v>4</v>
      </c>
      <c r="E46" s="1">
        <v>1275</v>
      </c>
    </row>
    <row r="48" spans="1:6" ht="15.75" customHeight="1" x14ac:dyDescent="0.15">
      <c r="A48" s="1" t="s">
        <v>56</v>
      </c>
      <c r="B48" s="10"/>
      <c r="C48" s="10">
        <f>'Ввод информации'!A2/120</f>
        <v>1.0666666666666667</v>
      </c>
      <c r="D48" s="1">
        <v>2</v>
      </c>
      <c r="E48" s="1">
        <f>Цены!C18</f>
        <v>2600</v>
      </c>
    </row>
    <row r="49" spans="1:5" ht="13" x14ac:dyDescent="0.15">
      <c r="A49" s="1" t="s">
        <v>57</v>
      </c>
      <c r="B49" s="10"/>
      <c r="C49" s="10">
        <f>'Ввод информации'!A2/30</f>
        <v>4.2666666666666666</v>
      </c>
      <c r="D49" s="1">
        <v>5</v>
      </c>
      <c r="E49" s="1">
        <f>Цены!C17</f>
        <v>2200</v>
      </c>
    </row>
    <row r="50" spans="1:5" ht="13" x14ac:dyDescent="0.15">
      <c r="A50" s="1" t="s">
        <v>58</v>
      </c>
      <c r="C50" s="1">
        <f>IF('Ввод информации'!C26,2,0)+IF('Ввод информации'!C27,3,0)</f>
        <v>2</v>
      </c>
      <c r="D50" s="1">
        <f>C50*D2</f>
        <v>82</v>
      </c>
      <c r="E50" s="1">
        <f>Цены!C19</f>
        <v>362</v>
      </c>
    </row>
    <row r="51" spans="1:5" ht="13" x14ac:dyDescent="0.15">
      <c r="A51" s="1" t="s">
        <v>59</v>
      </c>
      <c r="C51" s="1">
        <f>(D2/4)+(D43/2)+(D45/2)+(D44*4)</f>
        <v>14.75</v>
      </c>
      <c r="D51" s="1">
        <v>15</v>
      </c>
      <c r="E51" s="1">
        <v>550</v>
      </c>
    </row>
    <row r="52" spans="1:5" ht="13" x14ac:dyDescent="0.15">
      <c r="A52" s="1" t="s">
        <v>60</v>
      </c>
      <c r="C52" s="1">
        <f>D2+(D43*2)+(D44*6)+(D45*2)-(D2/2*1)</f>
        <v>28.5</v>
      </c>
      <c r="D52" s="1">
        <v>29</v>
      </c>
      <c r="E52" s="1">
        <v>170</v>
      </c>
    </row>
    <row r="53" spans="1:5" ht="13" x14ac:dyDescent="0.15">
      <c r="A53" s="1" t="s">
        <v>61</v>
      </c>
      <c r="D53" s="1">
        <v>29</v>
      </c>
      <c r="E53" s="1">
        <v>170</v>
      </c>
    </row>
    <row r="55" spans="1:5" ht="13" x14ac:dyDescent="0.15">
      <c r="A55" s="1" t="s">
        <v>62</v>
      </c>
      <c r="E55" s="1">
        <f>'Ввод информации'!A29*17*12</f>
        <v>12240</v>
      </c>
    </row>
    <row r="57" spans="1:5" ht="13" x14ac:dyDescent="0.15">
      <c r="A57" s="1" t="s">
        <v>63</v>
      </c>
      <c r="C57" s="1">
        <f>'Ввод информации'!A2/10</f>
        <v>12.8</v>
      </c>
      <c r="D57" s="1">
        <v>13</v>
      </c>
      <c r="E57" s="1">
        <v>35</v>
      </c>
    </row>
    <row r="58" spans="1:5" ht="13" x14ac:dyDescent="0.15">
      <c r="A58" s="1" t="s">
        <v>64</v>
      </c>
      <c r="D58" s="1">
        <f>IF('Ввод информации'!A2&lt;50,3, IF('Ввод информации'!A2&gt;50,6,))</f>
        <v>6</v>
      </c>
      <c r="E58" s="1">
        <v>250</v>
      </c>
    </row>
    <row r="59" spans="1:5" ht="13" x14ac:dyDescent="0.15">
      <c r="A59" s="1" t="s">
        <v>65</v>
      </c>
      <c r="D59" s="1">
        <f>IF('Ввод информации'!A2&lt;100,1, IF('Ввод информации'!A2=100,1,IF('Ввод информации'!A2&gt;100,2,)))</f>
        <v>2</v>
      </c>
      <c r="E59" s="1">
        <v>450</v>
      </c>
    </row>
    <row r="60" spans="1:5" ht="13" x14ac:dyDescent="0.15">
      <c r="A60" s="1" t="s">
        <v>66</v>
      </c>
      <c r="D60" s="1">
        <v>1</v>
      </c>
      <c r="E60" s="1">
        <v>100</v>
      </c>
    </row>
    <row r="61" spans="1:5" ht="13" x14ac:dyDescent="0.15">
      <c r="A61" s="1" t="s">
        <v>67</v>
      </c>
      <c r="D61" s="1">
        <v>1</v>
      </c>
      <c r="E61" s="1">
        <v>190</v>
      </c>
    </row>
    <row r="63" spans="1:5" ht="14" x14ac:dyDescent="0.15">
      <c r="A63" s="14" t="s">
        <v>68</v>
      </c>
    </row>
    <row r="64" spans="1:5" ht="14" x14ac:dyDescent="0.15">
      <c r="A64" s="15" t="s">
        <v>69</v>
      </c>
      <c r="C64" s="1">
        <f>'Ввод информации'!C31*'Ввод информации'!C32*'Ввод информации'!C33</f>
        <v>9.6</v>
      </c>
    </row>
    <row r="65" spans="1:9" ht="28" x14ac:dyDescent="0.15">
      <c r="A65" s="15" t="s">
        <v>70</v>
      </c>
      <c r="B65" s="16"/>
      <c r="C65" s="16">
        <v>33</v>
      </c>
      <c r="D65" s="1">
        <f>C65*'Ввод информации'!C33/10*0.2*6</f>
        <v>2.3760000000000003</v>
      </c>
    </row>
    <row r="66" spans="1:9" ht="14" x14ac:dyDescent="0.15">
      <c r="A66" s="15" t="s">
        <v>71</v>
      </c>
      <c r="C66" s="1">
        <f>'Ввод информации'!C31*10</f>
        <v>640</v>
      </c>
      <c r="D66" s="1">
        <f t="shared" ref="D66:D67" si="0">ROUND(C66/100,0)*100</f>
        <v>600</v>
      </c>
    </row>
    <row r="67" spans="1:9" ht="14" x14ac:dyDescent="0.15">
      <c r="A67" s="15" t="s">
        <v>72</v>
      </c>
      <c r="C67" s="1">
        <f>'Ввод информации'!C31*10</f>
        <v>640</v>
      </c>
      <c r="D67" s="1">
        <f t="shared" si="0"/>
        <v>600</v>
      </c>
    </row>
    <row r="68" spans="1:9" ht="14" x14ac:dyDescent="0.15">
      <c r="A68" s="15" t="s">
        <v>73</v>
      </c>
      <c r="C68" s="1">
        <f>'Ввод информации'!C31+10</f>
        <v>74</v>
      </c>
      <c r="D68" s="1">
        <v>74</v>
      </c>
    </row>
    <row r="69" spans="1:9" ht="14" x14ac:dyDescent="0.15">
      <c r="A69" s="15" t="s">
        <v>74</v>
      </c>
      <c r="C69" s="1">
        <f>'Ввод информации'!C31/10</f>
        <v>6.4</v>
      </c>
      <c r="D69" s="1">
        <v>7</v>
      </c>
    </row>
    <row r="70" spans="1:9" ht="14" x14ac:dyDescent="0.15">
      <c r="A70" s="15" t="s">
        <v>75</v>
      </c>
      <c r="B70" s="17"/>
      <c r="C70" s="17">
        <f>(('Ввод информации'!C31/5.85)+'Ввод информации'!C31)*4</f>
        <v>299.76068376068378</v>
      </c>
      <c r="D70" s="17">
        <f>C70</f>
        <v>299.76068376068378</v>
      </c>
    </row>
    <row r="71" spans="1:9" ht="14" x14ac:dyDescent="0.15">
      <c r="A71" s="15" t="s">
        <v>76</v>
      </c>
      <c r="B71" s="18"/>
      <c r="C71" s="18">
        <f>(('Ввод информации'!C31/0.3)+1)/3</f>
        <v>71.444444444444443</v>
      </c>
      <c r="D71" s="1">
        <f>C71*5.85</f>
        <v>417.95</v>
      </c>
    </row>
    <row r="72" spans="1:9" ht="28" x14ac:dyDescent="0.15">
      <c r="A72" s="15" t="s">
        <v>77</v>
      </c>
      <c r="C72" s="1">
        <f>'Ввод информации'!C31/10*2.5</f>
        <v>16</v>
      </c>
    </row>
    <row r="74" spans="1:9" ht="13" x14ac:dyDescent="0.15">
      <c r="B74" s="19"/>
      <c r="C74" s="19" t="s">
        <v>36</v>
      </c>
      <c r="D74" s="19" t="s">
        <v>78</v>
      </c>
      <c r="E74" s="19" t="s">
        <v>79</v>
      </c>
      <c r="F74" s="19" t="s">
        <v>80</v>
      </c>
      <c r="G74" s="19" t="s">
        <v>81</v>
      </c>
      <c r="H74" s="19" t="s">
        <v>82</v>
      </c>
      <c r="I74" s="19" t="s">
        <v>83</v>
      </c>
    </row>
    <row r="75" spans="1:9" ht="13" x14ac:dyDescent="0.15">
      <c r="A75" s="1" t="s">
        <v>84</v>
      </c>
      <c r="C75" s="20">
        <v>348</v>
      </c>
      <c r="G75" s="10">
        <f>('Ввод информации'!A2/1.15)+'Параметры для расчета'!D43+'Параметры для расчета'!D44+'Параметры для расчета'!D45</f>
        <v>113.30434782608697</v>
      </c>
      <c r="H75" s="1">
        <v>114</v>
      </c>
      <c r="I75" s="1">
        <f>1.22*'Ввод информации'!A4*C75</f>
        <v>849.12</v>
      </c>
    </row>
    <row r="76" spans="1:9" ht="13" x14ac:dyDescent="0.15">
      <c r="A76" s="1" t="s">
        <v>85</v>
      </c>
      <c r="C76" s="20">
        <v>384</v>
      </c>
      <c r="G76" s="10">
        <f>('Ввод информации'!A2/1.15)+'Параметры для расчета'!D43+'Параметры для расчета'!D44+'Параметры для расчета'!D45</f>
        <v>113.30434782608697</v>
      </c>
      <c r="H76" s="1">
        <v>114</v>
      </c>
      <c r="I76" s="1">
        <f>1.22*'Ввод информации'!A4*C76</f>
        <v>936.96</v>
      </c>
    </row>
    <row r="77" spans="1:9" ht="13" x14ac:dyDescent="0.15">
      <c r="A77" s="1" t="s">
        <v>86</v>
      </c>
      <c r="C77" s="20">
        <v>400</v>
      </c>
      <c r="G77" s="10">
        <f>('Ввод информации'!A2/1.15)+'Параметры для расчета'!D43+'Параметры для расчета'!D44+'Параметры для расчета'!D45</f>
        <v>113.30434782608697</v>
      </c>
      <c r="H77" s="1">
        <v>114</v>
      </c>
      <c r="I77" s="1">
        <f>1.22*'Ввод информации'!A4*C77</f>
        <v>976</v>
      </c>
    </row>
    <row r="78" spans="1:9" ht="13" x14ac:dyDescent="0.15">
      <c r="A78" s="1" t="s">
        <v>87</v>
      </c>
      <c r="C78" s="20">
        <v>434</v>
      </c>
      <c r="G78" s="10">
        <f>('Ввод информации'!A2/1.15)+'Параметры для расчета'!D43+'Параметры для расчета'!D44+'Параметры для расчета'!D45</f>
        <v>113.30434782608697</v>
      </c>
      <c r="H78" s="1">
        <v>114</v>
      </c>
      <c r="I78" s="1">
        <f>1.22*'Ввод информации'!A4*C78</f>
        <v>1058.96</v>
      </c>
    </row>
    <row r="79" spans="1:9" ht="13" x14ac:dyDescent="0.15">
      <c r="A79" s="1" t="s">
        <v>88</v>
      </c>
      <c r="C79" s="20">
        <v>465</v>
      </c>
      <c r="G79" s="10">
        <f>('Ввод информации'!A2/1.15)+'Параметры для расчета'!D43+'Параметры для расчета'!D44+'Параметры для расчета'!D45</f>
        <v>113.30434782608697</v>
      </c>
      <c r="H79" s="1">
        <v>114</v>
      </c>
      <c r="I79" s="1">
        <f>1.22*'Ввод информации'!A4*C79</f>
        <v>1134.5999999999999</v>
      </c>
    </row>
    <row r="80" spans="1:9" ht="13" x14ac:dyDescent="0.15">
      <c r="A80" s="1" t="s">
        <v>89</v>
      </c>
      <c r="C80" s="20">
        <v>486</v>
      </c>
      <c r="G80" s="10">
        <f>('Ввод информации'!A2/1.15)+'Параметры для расчета'!D43+'Параметры для расчета'!D44+'Параметры для расчета'!D45</f>
        <v>113.30434782608697</v>
      </c>
      <c r="H80" s="1">
        <v>114</v>
      </c>
      <c r="I80" s="1">
        <f>1.22*'Ввод информации'!A4*C80</f>
        <v>1185.8399999999999</v>
      </c>
    </row>
    <row r="81" spans="1:9" ht="13" x14ac:dyDescent="0.15">
      <c r="A81" s="1" t="s">
        <v>90</v>
      </c>
      <c r="C81" s="1">
        <v>603</v>
      </c>
      <c r="G81" s="10">
        <f>('Ввод информации'!A2/1.15)+'Параметры для расчета'!D43+'Параметры для расчета'!D44+'Параметры для расчета'!D45</f>
        <v>113.30434782608697</v>
      </c>
      <c r="H81" s="1">
        <v>114</v>
      </c>
      <c r="I81" s="1">
        <f>1.22*'Ввод информации'!A4*C81</f>
        <v>1471.32</v>
      </c>
    </row>
    <row r="82" spans="1:9" ht="13" x14ac:dyDescent="0.15">
      <c r="A82" s="1" t="s">
        <v>91</v>
      </c>
      <c r="C82" s="1">
        <v>505</v>
      </c>
      <c r="G82" s="10">
        <f>('Ввод информации'!A2/1.15)+'Параметры для расчета'!D43+'Параметры для расчета'!D44+'Параметры для расчета'!D45</f>
        <v>113.30434782608697</v>
      </c>
      <c r="H82" s="1">
        <v>114</v>
      </c>
      <c r="I82" s="1">
        <f>1.22*'Ввод информации'!A4*C82</f>
        <v>1232.2</v>
      </c>
    </row>
    <row r="83" spans="1:9" ht="13" x14ac:dyDescent="0.15">
      <c r="A83" s="1" t="s">
        <v>92</v>
      </c>
      <c r="C83" s="1">
        <v>674</v>
      </c>
      <c r="G83" s="10">
        <f>('Ввод информации'!A2/1.15)+'Параметры для расчета'!D43+'Параметры для расчета'!D44+'Параметры для расчета'!D45</f>
        <v>113.30434782608697</v>
      </c>
      <c r="H83" s="1">
        <v>114</v>
      </c>
      <c r="I83" s="1">
        <f>1.22*'Ввод информации'!A4*C83</f>
        <v>1644.56</v>
      </c>
    </row>
    <row r="85" spans="1:9" ht="13" x14ac:dyDescent="0.15">
      <c r="A85" s="1" t="s">
        <v>93</v>
      </c>
      <c r="B85" s="1">
        <v>7.4999999999999997E-2</v>
      </c>
      <c r="G85" s="10"/>
    </row>
    <row r="86" spans="1:9" ht="13" x14ac:dyDescent="0.15">
      <c r="A86" s="1" t="s">
        <v>94</v>
      </c>
      <c r="B86" s="1">
        <v>0.1</v>
      </c>
      <c r="G86" s="10"/>
    </row>
    <row r="87" spans="1:9" ht="13" x14ac:dyDescent="0.15">
      <c r="A87" s="1" t="s">
        <v>95</v>
      </c>
      <c r="B87" s="1">
        <v>0.11</v>
      </c>
      <c r="G87" s="10"/>
    </row>
    <row r="88" spans="1:9" ht="13" x14ac:dyDescent="0.15">
      <c r="A88" s="1" t="s">
        <v>96</v>
      </c>
      <c r="B88" s="1">
        <v>0.12</v>
      </c>
      <c r="G88" s="10"/>
    </row>
    <row r="89" spans="1:9" ht="13" x14ac:dyDescent="0.15">
      <c r="A89" s="1" t="s">
        <v>97</v>
      </c>
      <c r="B89" s="1">
        <v>0.31</v>
      </c>
      <c r="G89" s="10"/>
    </row>
    <row r="90" spans="1:9" ht="13" x14ac:dyDescent="0.15">
      <c r="A90" s="1" t="s">
        <v>98</v>
      </c>
      <c r="B90" s="1">
        <v>7.4999999999999997E-2</v>
      </c>
      <c r="G90" s="10"/>
    </row>
    <row r="91" spans="1:9" ht="13" x14ac:dyDescent="0.15">
      <c r="A91" s="1" t="s">
        <v>99</v>
      </c>
      <c r="B91" s="1">
        <v>0.1</v>
      </c>
      <c r="G91" s="10"/>
    </row>
    <row r="92" spans="1:9" ht="13" x14ac:dyDescent="0.15">
      <c r="A92" s="1" t="s">
        <v>100</v>
      </c>
      <c r="B92" s="1">
        <v>0.11</v>
      </c>
      <c r="G92" s="10"/>
    </row>
    <row r="93" spans="1:9" ht="13" x14ac:dyDescent="0.15">
      <c r="A93" s="1" t="s">
        <v>101</v>
      </c>
      <c r="B93" s="1">
        <v>0.12</v>
      </c>
      <c r="G93" s="10"/>
    </row>
    <row r="94" spans="1:9" ht="13" x14ac:dyDescent="0.15">
      <c r="A94" s="1" t="s">
        <v>102</v>
      </c>
      <c r="B94" s="1">
        <v>0.31</v>
      </c>
      <c r="G94" s="10"/>
    </row>
    <row r="95" spans="1:9" ht="13" x14ac:dyDescent="0.15">
      <c r="A95" s="1" t="s">
        <v>103</v>
      </c>
      <c r="B95" s="1">
        <v>7.4999999999999997E-2</v>
      </c>
      <c r="G95" s="10"/>
    </row>
    <row r="96" spans="1:9" ht="13" x14ac:dyDescent="0.15">
      <c r="A96" s="1" t="s">
        <v>104</v>
      </c>
      <c r="B96" s="1">
        <v>0.1</v>
      </c>
      <c r="G96" s="10"/>
    </row>
    <row r="97" spans="1:7" ht="13" x14ac:dyDescent="0.15">
      <c r="A97" s="1" t="s">
        <v>105</v>
      </c>
      <c r="B97" s="1">
        <v>0.11</v>
      </c>
      <c r="G97" s="10"/>
    </row>
    <row r="98" spans="1:7" ht="13" x14ac:dyDescent="0.15">
      <c r="A98" s="1" t="s">
        <v>106</v>
      </c>
      <c r="B98" s="1">
        <v>0.12</v>
      </c>
      <c r="G98" s="10"/>
    </row>
    <row r="99" spans="1:7" ht="13" x14ac:dyDescent="0.15">
      <c r="A99" s="1" t="s">
        <v>107</v>
      </c>
      <c r="B99" s="1">
        <v>0.31</v>
      </c>
      <c r="G99" s="10"/>
    </row>
    <row r="100" spans="1:7" ht="13" x14ac:dyDescent="0.15">
      <c r="A100" s="1" t="s">
        <v>108</v>
      </c>
      <c r="B100" s="1">
        <v>7.4999999999999997E-2</v>
      </c>
      <c r="G100" s="10"/>
    </row>
    <row r="101" spans="1:7" ht="13" x14ac:dyDescent="0.15">
      <c r="A101" s="1" t="s">
        <v>109</v>
      </c>
      <c r="B101" s="1">
        <v>0.1</v>
      </c>
      <c r="G101" s="10"/>
    </row>
    <row r="102" spans="1:7" ht="13" x14ac:dyDescent="0.15">
      <c r="A102" s="1" t="s">
        <v>110</v>
      </c>
      <c r="B102" s="1">
        <v>0.11</v>
      </c>
      <c r="G102" s="10"/>
    </row>
    <row r="103" spans="1:7" ht="13" x14ac:dyDescent="0.15">
      <c r="A103" s="1" t="s">
        <v>111</v>
      </c>
      <c r="B103" s="1">
        <v>0.12</v>
      </c>
      <c r="G103" s="10"/>
    </row>
    <row r="104" spans="1:7" ht="13" x14ac:dyDescent="0.15">
      <c r="A104" s="1" t="s">
        <v>112</v>
      </c>
      <c r="B104" s="1">
        <v>0.31</v>
      </c>
      <c r="G104" s="10"/>
    </row>
    <row r="105" spans="1:7" ht="13" x14ac:dyDescent="0.15">
      <c r="A105" s="1" t="s">
        <v>113</v>
      </c>
      <c r="B105" s="1">
        <v>7.4999999999999997E-2</v>
      </c>
      <c r="G105" s="10"/>
    </row>
    <row r="106" spans="1:7" ht="13" x14ac:dyDescent="0.15">
      <c r="A106" s="1" t="s">
        <v>114</v>
      </c>
      <c r="B106" s="1">
        <v>0.1</v>
      </c>
      <c r="G106" s="10"/>
    </row>
    <row r="107" spans="1:7" ht="13" x14ac:dyDescent="0.15">
      <c r="A107" s="1" t="s">
        <v>115</v>
      </c>
      <c r="B107" s="1">
        <v>0.11</v>
      </c>
      <c r="G107" s="10"/>
    </row>
    <row r="108" spans="1:7" ht="13" x14ac:dyDescent="0.15">
      <c r="A108" s="1" t="s">
        <v>116</v>
      </c>
      <c r="B108" s="1">
        <v>0.12</v>
      </c>
      <c r="G108" s="10"/>
    </row>
    <row r="109" spans="1:7" ht="13" x14ac:dyDescent="0.15">
      <c r="A109" s="1" t="s">
        <v>117</v>
      </c>
      <c r="B109" s="1">
        <v>0.31</v>
      </c>
      <c r="G109" s="10"/>
    </row>
  </sheetData>
  <mergeCells count="1">
    <mergeCell ref="C1:D1"/>
  </mergeCells>
  <dataValidations count="1">
    <dataValidation type="decimal" allowBlank="1" showDropDown="1" sqref="A19:A26" xr:uid="{00000000-0002-0000-0100-000000000000}">
      <formula1>0.01</formula1>
      <formula2>0.08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65"/>
  <sheetViews>
    <sheetView tabSelected="1" workbookViewId="0">
      <selection activeCell="C39" sqref="C39"/>
    </sheetView>
  </sheetViews>
  <sheetFormatPr baseColWidth="10" defaultColWidth="12.6640625" defaultRowHeight="15.75" customHeight="1" outlineLevelRow="1" x14ac:dyDescent="0.15"/>
  <cols>
    <col min="1" max="1" width="4.6640625" customWidth="1"/>
    <col min="2" max="2" width="50.1640625" customWidth="1"/>
    <col min="3" max="3" width="12.83203125" customWidth="1"/>
    <col min="4" max="5" width="9.5" customWidth="1"/>
    <col min="6" max="10" width="12.6640625" customWidth="1"/>
  </cols>
  <sheetData>
    <row r="1" spans="1:26" ht="21.75" customHeight="1" x14ac:dyDescent="0.15">
      <c r="B1" s="21"/>
      <c r="C1" s="21"/>
      <c r="D1" s="21"/>
      <c r="E1" s="22">
        <v>1</v>
      </c>
      <c r="F1" s="21"/>
      <c r="G1" s="21"/>
      <c r="H1" s="21"/>
      <c r="I1" s="21"/>
      <c r="J1" s="21"/>
      <c r="K1" s="23"/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" x14ac:dyDescent="0.15">
      <c r="A2" s="21"/>
      <c r="B2" s="21"/>
      <c r="C2" s="21"/>
      <c r="E2" s="21" t="s">
        <v>118</v>
      </c>
      <c r="F2" s="21"/>
      <c r="G2" s="21"/>
      <c r="H2" s="21"/>
      <c r="I2" s="21"/>
      <c r="J2" s="21"/>
      <c r="K2" s="23"/>
      <c r="L2" s="24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" x14ac:dyDescent="0.15">
      <c r="A3" s="21"/>
      <c r="B3" s="21"/>
      <c r="C3" s="21"/>
      <c r="D3" s="21"/>
      <c r="E3" s="26" t="s">
        <v>119</v>
      </c>
      <c r="F3" s="21"/>
      <c r="G3" s="21"/>
      <c r="H3" s="21"/>
      <c r="I3" s="21"/>
      <c r="J3" s="21"/>
      <c r="K3" s="27"/>
      <c r="L3" s="24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6" x14ac:dyDescent="0.15">
      <c r="B4" s="26"/>
      <c r="C4" s="26"/>
      <c r="D4" s="26"/>
      <c r="E4" s="23" t="s">
        <v>120</v>
      </c>
      <c r="F4" s="26"/>
      <c r="G4" s="26"/>
      <c r="H4" s="26"/>
      <c r="I4" s="26"/>
      <c r="J4" s="26"/>
      <c r="K4" s="27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3" x14ac:dyDescent="0.15">
      <c r="A5" s="24"/>
      <c r="C5" s="23"/>
      <c r="D5" s="23"/>
      <c r="E5" s="27" t="s">
        <v>121</v>
      </c>
      <c r="F5" s="23"/>
      <c r="G5" s="23"/>
      <c r="H5" s="23"/>
      <c r="I5" s="23"/>
      <c r="J5" s="23"/>
      <c r="K5" s="23"/>
      <c r="L5" s="24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3" x14ac:dyDescent="0.15">
      <c r="B6" s="27"/>
      <c r="C6" s="27"/>
      <c r="D6" s="27"/>
      <c r="E6" s="28">
        <v>1</v>
      </c>
      <c r="F6" s="27"/>
      <c r="G6" s="27"/>
      <c r="H6" s="27"/>
      <c r="I6" s="27"/>
      <c r="J6" s="27"/>
      <c r="K6" s="27"/>
      <c r="L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3" x14ac:dyDescent="0.15">
      <c r="A7" s="25"/>
      <c r="B7" s="25"/>
      <c r="C7" s="25"/>
      <c r="D7" s="25"/>
      <c r="E7" s="28">
        <v>1</v>
      </c>
      <c r="F7" s="25"/>
      <c r="G7" s="25"/>
      <c r="H7" s="25"/>
      <c r="I7" s="25"/>
      <c r="J7" s="25"/>
      <c r="K7" s="27"/>
      <c r="L7" s="24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3" x14ac:dyDescent="0.15">
      <c r="A8" s="29"/>
      <c r="B8" s="30" t="s">
        <v>122</v>
      </c>
      <c r="E8" s="28">
        <v>1</v>
      </c>
      <c r="G8" s="110" t="str">
        <f>'Ввод информации'!A35</f>
        <v>КП Заповедник парк Совята уч 81</v>
      </c>
      <c r="H8" s="111"/>
      <c r="I8" s="111"/>
      <c r="J8" s="100"/>
      <c r="K8" s="31"/>
      <c r="L8" s="31"/>
      <c r="M8" s="31"/>
      <c r="N8" s="31"/>
      <c r="O8" s="31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3" x14ac:dyDescent="0.15">
      <c r="A9" s="29"/>
      <c r="B9" s="30" t="str">
        <f>'Ввод информации'!A37</f>
        <v>Борис Борисович +7-912-297-11-79</v>
      </c>
      <c r="D9" s="27"/>
      <c r="E9" s="28">
        <v>1</v>
      </c>
      <c r="F9" s="31"/>
      <c r="G9" s="110" t="s">
        <v>123</v>
      </c>
      <c r="H9" s="111"/>
      <c r="I9" s="111"/>
      <c r="J9" s="100"/>
      <c r="L9" s="24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3" x14ac:dyDescent="0.15">
      <c r="A10" s="101"/>
      <c r="B10" s="91"/>
      <c r="C10" s="91"/>
      <c r="E10" s="28">
        <v>1</v>
      </c>
      <c r="F10" s="27"/>
      <c r="G10" s="29"/>
      <c r="H10" s="112" t="s">
        <v>124</v>
      </c>
      <c r="I10" s="100"/>
      <c r="J10" s="32">
        <f>J11+J12</f>
        <v>806636.82307692314</v>
      </c>
      <c r="K10" s="27"/>
      <c r="L10" s="24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3" x14ac:dyDescent="0.15">
      <c r="A11" s="33"/>
      <c r="B11" s="27"/>
      <c r="C11" s="27"/>
      <c r="D11" s="27"/>
      <c r="E11" s="28">
        <v>1</v>
      </c>
      <c r="F11" s="27"/>
      <c r="G11" s="29"/>
      <c r="H11" s="112" t="s">
        <v>125</v>
      </c>
      <c r="I11" s="100"/>
      <c r="J11" s="32">
        <f>I58</f>
        <v>240015</v>
      </c>
      <c r="K11" s="27"/>
      <c r="L11" s="24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3" x14ac:dyDescent="0.15">
      <c r="A12" s="33"/>
      <c r="B12" s="27"/>
      <c r="C12" s="27"/>
      <c r="D12" s="27"/>
      <c r="E12" s="28">
        <v>1</v>
      </c>
      <c r="F12" s="27"/>
      <c r="G12" s="29"/>
      <c r="H12" s="112" t="s">
        <v>126</v>
      </c>
      <c r="I12" s="100"/>
      <c r="J12" s="32">
        <f>J58</f>
        <v>566621.82307692314</v>
      </c>
      <c r="K12" s="27"/>
      <c r="L12" s="24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3" x14ac:dyDescent="0.15">
      <c r="A13" s="103" t="s">
        <v>127</v>
      </c>
      <c r="B13" s="109" t="s">
        <v>128</v>
      </c>
      <c r="C13" s="109" t="s">
        <v>129</v>
      </c>
      <c r="D13" s="106" t="s">
        <v>130</v>
      </c>
      <c r="E13" s="34">
        <v>1</v>
      </c>
      <c r="F13" s="113" t="s">
        <v>131</v>
      </c>
      <c r="G13" s="100"/>
      <c r="H13" s="114" t="s">
        <v>132</v>
      </c>
      <c r="I13" s="111"/>
      <c r="J13" s="100"/>
      <c r="K13" s="27"/>
      <c r="L13" s="24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3" x14ac:dyDescent="0.15">
      <c r="A14" s="104"/>
      <c r="B14" s="104"/>
      <c r="C14" s="104"/>
      <c r="D14" s="107"/>
      <c r="E14" s="35" t="s">
        <v>133</v>
      </c>
      <c r="F14" s="113" t="s">
        <v>134</v>
      </c>
      <c r="G14" s="100"/>
      <c r="H14" s="109" t="s">
        <v>135</v>
      </c>
      <c r="I14" s="114" t="s">
        <v>134</v>
      </c>
      <c r="J14" s="100"/>
      <c r="K14" s="27"/>
      <c r="L14" s="2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8" x14ac:dyDescent="0.15">
      <c r="A15" s="105"/>
      <c r="B15" s="105"/>
      <c r="C15" s="105"/>
      <c r="D15" s="108"/>
      <c r="E15" s="36">
        <v>1</v>
      </c>
      <c r="F15" s="37" t="s">
        <v>136</v>
      </c>
      <c r="G15" s="38" t="s">
        <v>137</v>
      </c>
      <c r="H15" s="105"/>
      <c r="I15" s="38" t="s">
        <v>136</v>
      </c>
      <c r="J15" s="38" t="s">
        <v>137</v>
      </c>
      <c r="K15" s="27"/>
      <c r="L15" s="2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42" x14ac:dyDescent="0.15">
      <c r="A16" s="39">
        <v>1</v>
      </c>
      <c r="B16" s="40" t="s">
        <v>138</v>
      </c>
      <c r="C16" s="41" t="s">
        <v>139</v>
      </c>
      <c r="D16" s="41">
        <v>1</v>
      </c>
      <c r="E16" s="41">
        <v>25</v>
      </c>
      <c r="F16" s="42">
        <f>'Параметры для расчета'!E3</f>
        <v>400</v>
      </c>
      <c r="G16" s="43"/>
      <c r="H16" s="42">
        <f t="shared" ref="H16:H23" si="0">E16*F16</f>
        <v>10000</v>
      </c>
      <c r="I16" s="42">
        <f t="shared" ref="I16:I23" si="1">H16</f>
        <v>10000</v>
      </c>
      <c r="J16" s="43"/>
      <c r="K16" s="23"/>
      <c r="L16" s="24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" x14ac:dyDescent="0.15">
      <c r="A17" s="39">
        <v>2</v>
      </c>
      <c r="B17" s="44" t="s">
        <v>140</v>
      </c>
      <c r="C17" s="41" t="s">
        <v>141</v>
      </c>
      <c r="D17" s="41">
        <v>1</v>
      </c>
      <c r="E17" s="41">
        <v>25</v>
      </c>
      <c r="F17" s="42">
        <f>'Параметры для расчета'!E3</f>
        <v>400</v>
      </c>
      <c r="G17" s="43"/>
      <c r="H17" s="42">
        <f t="shared" si="0"/>
        <v>10000</v>
      </c>
      <c r="I17" s="42">
        <f t="shared" si="1"/>
        <v>10000</v>
      </c>
      <c r="J17" s="43"/>
      <c r="K17" s="23"/>
      <c r="L17" s="24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" x14ac:dyDescent="0.15">
      <c r="A18" s="39">
        <v>3</v>
      </c>
      <c r="B18" s="44" t="s">
        <v>39</v>
      </c>
      <c r="C18" s="41" t="s">
        <v>142</v>
      </c>
      <c r="D18" s="41">
        <v>1</v>
      </c>
      <c r="E18" s="41">
        <v>113</v>
      </c>
      <c r="F18" s="42">
        <v>950</v>
      </c>
      <c r="G18" s="43"/>
      <c r="H18" s="42">
        <f t="shared" si="0"/>
        <v>107350</v>
      </c>
      <c r="I18" s="42">
        <f t="shared" si="1"/>
        <v>107350</v>
      </c>
      <c r="J18" s="43"/>
      <c r="K18" s="23"/>
      <c r="L18" s="24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" x14ac:dyDescent="0.15">
      <c r="A19" s="39">
        <v>4</v>
      </c>
      <c r="B19" s="44" t="str">
        <f>'Параметры для расчета'!A5</f>
        <v>Монтаж ворот откатных</v>
      </c>
      <c r="C19" s="41" t="s">
        <v>141</v>
      </c>
      <c r="D19" s="41">
        <v>1</v>
      </c>
      <c r="E19" s="41">
        <f>'Параметры для расчета'!D5</f>
        <v>1</v>
      </c>
      <c r="F19" s="42">
        <f>'Параметры для расчета'!E5</f>
        <v>32000</v>
      </c>
      <c r="G19" s="43"/>
      <c r="H19" s="42">
        <f t="shared" si="0"/>
        <v>32000</v>
      </c>
      <c r="I19" s="42">
        <f t="shared" si="1"/>
        <v>32000</v>
      </c>
      <c r="J19" s="43"/>
      <c r="K19" s="23"/>
      <c r="L19" s="24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" hidden="1" x14ac:dyDescent="0.15">
      <c r="A20" s="39">
        <v>5</v>
      </c>
      <c r="B20" s="44" t="str">
        <f>'Параметры для расчета'!A6</f>
        <v>Монтаж ворот распашных</v>
      </c>
      <c r="C20" s="41" t="s">
        <v>141</v>
      </c>
      <c r="D20" s="41">
        <v>1</v>
      </c>
      <c r="E20" s="41">
        <f>'Параметры для расчета'!D6</f>
        <v>0</v>
      </c>
      <c r="F20" s="42">
        <f>'Параметры для расчета'!E6</f>
        <v>7500</v>
      </c>
      <c r="G20" s="43"/>
      <c r="H20" s="42">
        <f t="shared" si="0"/>
        <v>0</v>
      </c>
      <c r="I20" s="42">
        <f t="shared" si="1"/>
        <v>0</v>
      </c>
      <c r="J20" s="43"/>
      <c r="K20" s="23"/>
      <c r="L20" s="24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" x14ac:dyDescent="0.15">
      <c r="A21" s="39">
        <v>5</v>
      </c>
      <c r="B21" s="44" t="str">
        <f>'Параметры для расчета'!A7</f>
        <v>Монтаж калитки</v>
      </c>
      <c r="C21" s="41" t="s">
        <v>141</v>
      </c>
      <c r="D21" s="41">
        <v>1</v>
      </c>
      <c r="E21" s="41">
        <f>'Параметры для расчета'!D7</f>
        <v>1</v>
      </c>
      <c r="F21" s="42">
        <f>'Параметры для расчета'!E7</f>
        <v>4500</v>
      </c>
      <c r="G21" s="43"/>
      <c r="H21" s="42">
        <f t="shared" si="0"/>
        <v>4500</v>
      </c>
      <c r="I21" s="42">
        <f t="shared" si="1"/>
        <v>4500</v>
      </c>
      <c r="J21" s="43"/>
      <c r="K21" s="23"/>
      <c r="L21" s="24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" x14ac:dyDescent="0.15">
      <c r="A22" s="39">
        <v>6</v>
      </c>
      <c r="B22" s="44" t="str">
        <f>'Параметры для расчета'!A8</f>
        <v>Покраска металлоконструкции</v>
      </c>
      <c r="C22" s="41" t="s">
        <v>142</v>
      </c>
      <c r="D22" s="41">
        <v>1</v>
      </c>
      <c r="E22" s="41">
        <v>397</v>
      </c>
      <c r="F22" s="42">
        <f>'Параметры для расчета'!E8</f>
        <v>25</v>
      </c>
      <c r="G22" s="43"/>
      <c r="H22" s="42">
        <f t="shared" si="0"/>
        <v>9925</v>
      </c>
      <c r="I22" s="42">
        <f t="shared" si="1"/>
        <v>9925</v>
      </c>
      <c r="J22" s="45"/>
      <c r="K22" s="23"/>
      <c r="L22" s="24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3" outlineLevel="1" x14ac:dyDescent="0.15">
      <c r="A23" s="39">
        <v>7</v>
      </c>
      <c r="B23" s="61" t="str">
        <f>IF('Ввод информации'!C30=TRUE,'Параметры для расчета'!A9, IF('Ввод информации'!C30=FALSE,))</f>
        <v>Монтажные работы по заливке фундамента</v>
      </c>
      <c r="C23" s="62" t="str">
        <f>IF('Ввод информации'!C30=TRUE,'Параметры для расчета'!C9, IF('Ввод информации'!C30=FALSE,))</f>
        <v>м3</v>
      </c>
      <c r="D23" s="62">
        <f>IF('Ввод информации'!C30=TRUE,1, IF('Ввод информации'!C30=FALSE,0))</f>
        <v>1</v>
      </c>
      <c r="E23" s="62">
        <f>IF('Ввод информации'!C30=TRUE,'Параметры для расчета'!D9, IF('Ввод информации'!C30=FALSE,0))</f>
        <v>9.6</v>
      </c>
      <c r="F23" s="42">
        <v>6900</v>
      </c>
      <c r="G23" s="42"/>
      <c r="H23" s="42">
        <f t="shared" si="0"/>
        <v>66240</v>
      </c>
      <c r="I23" s="42">
        <f t="shared" si="1"/>
        <v>66240</v>
      </c>
      <c r="J23" s="63"/>
      <c r="K23" s="23"/>
      <c r="L23" s="2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" x14ac:dyDescent="0.15">
      <c r="A24" s="57">
        <v>8</v>
      </c>
      <c r="B24" s="70" t="str">
        <f>IF(H24=0," ",IF(H24&gt;0,'Ввод информации'!A10))</f>
        <v>Профлист RAL 0.45мм профиль С8</v>
      </c>
      <c r="C24" s="71" t="s">
        <v>141</v>
      </c>
      <c r="D24" s="71">
        <v>1</v>
      </c>
      <c r="E24" s="71">
        <v>85</v>
      </c>
      <c r="F24" s="72"/>
      <c r="G24" s="73">
        <v>1469</v>
      </c>
      <c r="H24" s="73">
        <f t="shared" ref="H24:H38" si="2">E24*G24</f>
        <v>124865</v>
      </c>
      <c r="I24" s="72"/>
      <c r="J24" s="73">
        <f t="shared" ref="J24:J38" si="3">H24</f>
        <v>124865</v>
      </c>
      <c r="K24" s="23"/>
      <c r="L24" s="24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" x14ac:dyDescent="0.15">
      <c r="A25" s="57">
        <v>9</v>
      </c>
      <c r="B25" s="70" t="str">
        <f>'Ввод информации'!A15</f>
        <v>Саморез кровельный в цвет</v>
      </c>
      <c r="C25" s="74" t="s">
        <v>141</v>
      </c>
      <c r="D25" s="74">
        <v>1</v>
      </c>
      <c r="E25" s="74">
        <v>1250</v>
      </c>
      <c r="F25" s="75"/>
      <c r="G25" s="76">
        <f>'Параметры для расчета'!E32</f>
        <v>3.5</v>
      </c>
      <c r="H25" s="76">
        <f t="shared" si="2"/>
        <v>4375</v>
      </c>
      <c r="I25" s="77"/>
      <c r="J25" s="76">
        <f t="shared" si="3"/>
        <v>4375</v>
      </c>
      <c r="K25" s="23"/>
      <c r="L25" s="24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" x14ac:dyDescent="0.15">
      <c r="A26" s="57">
        <v>10</v>
      </c>
      <c r="B26" s="78" t="s">
        <v>285</v>
      </c>
      <c r="C26" s="79" t="s">
        <v>141</v>
      </c>
      <c r="D26" s="74">
        <v>1</v>
      </c>
      <c r="E26" s="74">
        <v>285</v>
      </c>
      <c r="F26" s="75"/>
      <c r="G26" s="76">
        <v>368</v>
      </c>
      <c r="H26" s="76">
        <f t="shared" ref="H26:H27" si="4">E26*G26</f>
        <v>104880</v>
      </c>
      <c r="I26" s="77"/>
      <c r="J26" s="76">
        <f t="shared" ref="J26:J27" si="5">H26</f>
        <v>104880</v>
      </c>
      <c r="K26" s="23"/>
      <c r="L26" s="24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" x14ac:dyDescent="0.15">
      <c r="A27" s="57">
        <v>11</v>
      </c>
      <c r="B27" s="78" t="s">
        <v>283</v>
      </c>
      <c r="C27" s="79" t="s">
        <v>141</v>
      </c>
      <c r="D27" s="74">
        <v>1</v>
      </c>
      <c r="E27" s="74">
        <v>1500</v>
      </c>
      <c r="F27" s="75"/>
      <c r="G27" s="76">
        <v>1.5</v>
      </c>
      <c r="H27" s="76">
        <f t="shared" si="4"/>
        <v>2250</v>
      </c>
      <c r="I27" s="77"/>
      <c r="J27" s="76">
        <f t="shared" si="5"/>
        <v>2250</v>
      </c>
      <c r="K27" s="23"/>
      <c r="L27" s="24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" x14ac:dyDescent="0.15">
      <c r="A28" s="57">
        <v>12</v>
      </c>
      <c r="B28" s="80" t="str">
        <f>'Параметры для расчета'!A41</f>
        <v>Столб заборный 60х60х2мм</v>
      </c>
      <c r="C28" s="81" t="s">
        <v>141</v>
      </c>
      <c r="D28" s="81">
        <v>1</v>
      </c>
      <c r="E28" s="81">
        <v>14</v>
      </c>
      <c r="F28" s="77"/>
      <c r="G28" s="76">
        <f>'Параметры для расчета'!E41</f>
        <v>944</v>
      </c>
      <c r="H28" s="76">
        <f t="shared" si="2"/>
        <v>13216</v>
      </c>
      <c r="I28" s="77"/>
      <c r="J28" s="76">
        <f t="shared" si="3"/>
        <v>13216</v>
      </c>
      <c r="K28" s="23"/>
      <c r="L28" s="24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" x14ac:dyDescent="0.15">
      <c r="A29" s="57">
        <v>3</v>
      </c>
      <c r="B29" s="80" t="s">
        <v>143</v>
      </c>
      <c r="C29" s="81" t="s">
        <v>141</v>
      </c>
      <c r="D29" s="81">
        <v>1</v>
      </c>
      <c r="E29" s="81">
        <v>13</v>
      </c>
      <c r="F29" s="77"/>
      <c r="G29" s="76">
        <f>'Параметры для расчета'!E46</f>
        <v>1275</v>
      </c>
      <c r="H29" s="76">
        <f t="shared" si="2"/>
        <v>16575</v>
      </c>
      <c r="I29" s="77"/>
      <c r="J29" s="76">
        <f t="shared" si="3"/>
        <v>16575</v>
      </c>
      <c r="K29" s="23"/>
      <c r="L29" s="24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" x14ac:dyDescent="0.15">
      <c r="A30" s="57">
        <v>14</v>
      </c>
      <c r="B30" s="70" t="s">
        <v>144</v>
      </c>
      <c r="C30" s="74" t="s">
        <v>141</v>
      </c>
      <c r="D30" s="74">
        <v>1</v>
      </c>
      <c r="E30" s="74">
        <f>'Параметры для расчета'!D48</f>
        <v>2</v>
      </c>
      <c r="F30" s="75"/>
      <c r="G30" s="76">
        <f>'Параметры для расчета'!E48</f>
        <v>2600</v>
      </c>
      <c r="H30" s="76">
        <f t="shared" si="2"/>
        <v>5200</v>
      </c>
      <c r="I30" s="77"/>
      <c r="J30" s="76">
        <f t="shared" si="3"/>
        <v>5200</v>
      </c>
      <c r="K30" s="23"/>
      <c r="L30" s="24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" x14ac:dyDescent="0.15">
      <c r="A31" s="57">
        <v>15</v>
      </c>
      <c r="B31" s="70" t="s">
        <v>145</v>
      </c>
      <c r="C31" s="74" t="s">
        <v>141</v>
      </c>
      <c r="D31" s="74">
        <v>1</v>
      </c>
      <c r="E31" s="74">
        <f>'Параметры для расчета'!D49</f>
        <v>5</v>
      </c>
      <c r="F31" s="75"/>
      <c r="G31" s="76">
        <f>'Параметры для расчета'!E49</f>
        <v>2200</v>
      </c>
      <c r="H31" s="76">
        <f t="shared" si="2"/>
        <v>11000</v>
      </c>
      <c r="I31" s="77"/>
      <c r="J31" s="76">
        <f t="shared" si="3"/>
        <v>11000</v>
      </c>
      <c r="K31" s="23"/>
      <c r="L31" s="24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" x14ac:dyDescent="0.15">
      <c r="A32" s="57">
        <v>16</v>
      </c>
      <c r="B32" s="70" t="s">
        <v>58</v>
      </c>
      <c r="C32" s="74" t="s">
        <v>141</v>
      </c>
      <c r="D32" s="74">
        <v>1</v>
      </c>
      <c r="E32" s="74">
        <f>'Параметры для расчета'!D50</f>
        <v>82</v>
      </c>
      <c r="F32" s="75"/>
      <c r="G32" s="76">
        <f>'Параметры для расчета'!E50</f>
        <v>362</v>
      </c>
      <c r="H32" s="76">
        <f t="shared" si="2"/>
        <v>29684</v>
      </c>
      <c r="I32" s="77"/>
      <c r="J32" s="76">
        <f t="shared" si="3"/>
        <v>29684</v>
      </c>
      <c r="K32" s="23"/>
      <c r="L32" s="24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8" x14ac:dyDescent="0.15">
      <c r="A33" s="57">
        <v>17</v>
      </c>
      <c r="B33" s="70" t="s">
        <v>146</v>
      </c>
      <c r="C33" s="74" t="s">
        <v>141</v>
      </c>
      <c r="D33" s="74">
        <v>1</v>
      </c>
      <c r="E33" s="74">
        <f>'Параметры для расчета'!D44</f>
        <v>1</v>
      </c>
      <c r="F33" s="75"/>
      <c r="G33" s="76">
        <f>Цены!C2</f>
        <v>45500</v>
      </c>
      <c r="H33" s="76">
        <f t="shared" si="2"/>
        <v>45500</v>
      </c>
      <c r="I33" s="77"/>
      <c r="J33" s="76">
        <f t="shared" si="3"/>
        <v>45500</v>
      </c>
      <c r="K33" s="23"/>
      <c r="L33" s="24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28" hidden="1" x14ac:dyDescent="0.15">
      <c r="A34" s="57">
        <v>17</v>
      </c>
      <c r="B34" s="70" t="s">
        <v>54</v>
      </c>
      <c r="C34" s="74" t="s">
        <v>141</v>
      </c>
      <c r="D34" s="74">
        <v>1</v>
      </c>
      <c r="E34" s="74">
        <f>'Параметры для расчета'!D45</f>
        <v>0</v>
      </c>
      <c r="F34" s="75"/>
      <c r="G34" s="76">
        <f>Цены!C3</f>
        <v>19500</v>
      </c>
      <c r="H34" s="76">
        <f t="shared" si="2"/>
        <v>0</v>
      </c>
      <c r="I34" s="77"/>
      <c r="J34" s="76">
        <f t="shared" si="3"/>
        <v>0</v>
      </c>
      <c r="K34" s="23"/>
      <c r="L34" s="2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" x14ac:dyDescent="0.15">
      <c r="A35" s="57">
        <v>18</v>
      </c>
      <c r="B35" s="70" t="s">
        <v>147</v>
      </c>
      <c r="C35" s="74" t="s">
        <v>141</v>
      </c>
      <c r="D35" s="74">
        <v>1</v>
      </c>
      <c r="E35" s="74">
        <f>'Параметры для расчета'!D43</f>
        <v>1</v>
      </c>
      <c r="F35" s="75"/>
      <c r="G35" s="76">
        <f>Цены!C4</f>
        <v>9500</v>
      </c>
      <c r="H35" s="76">
        <f t="shared" si="2"/>
        <v>9500</v>
      </c>
      <c r="I35" s="77"/>
      <c r="J35" s="76">
        <f t="shared" si="3"/>
        <v>9500</v>
      </c>
      <c r="K35" s="23"/>
      <c r="L35" s="24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" x14ac:dyDescent="0.15">
      <c r="A36" s="57">
        <v>19</v>
      </c>
      <c r="B36" s="70" t="s">
        <v>148</v>
      </c>
      <c r="C36" s="74" t="s">
        <v>141</v>
      </c>
      <c r="D36" s="74">
        <v>1</v>
      </c>
      <c r="E36" s="82">
        <f>'Параметры для расчета'!D58</f>
        <v>6</v>
      </c>
      <c r="F36" s="75"/>
      <c r="G36" s="76">
        <f>'Параметры для расчета'!E58</f>
        <v>250</v>
      </c>
      <c r="H36" s="76">
        <f t="shared" si="2"/>
        <v>1500</v>
      </c>
      <c r="I36" s="77"/>
      <c r="J36" s="76">
        <f t="shared" si="3"/>
        <v>1500</v>
      </c>
      <c r="K36" s="23"/>
      <c r="L36" s="24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" x14ac:dyDescent="0.15">
      <c r="A37" s="57">
        <v>20</v>
      </c>
      <c r="B37" s="70" t="s">
        <v>149</v>
      </c>
      <c r="C37" s="74" t="s">
        <v>141</v>
      </c>
      <c r="D37" s="74">
        <v>1</v>
      </c>
      <c r="E37" s="74">
        <f>E28+E29</f>
        <v>27</v>
      </c>
      <c r="F37" s="75"/>
      <c r="G37" s="76">
        <v>0</v>
      </c>
      <c r="H37" s="76">
        <f t="shared" si="2"/>
        <v>0</v>
      </c>
      <c r="I37" s="77"/>
      <c r="J37" s="76">
        <f t="shared" si="3"/>
        <v>0</v>
      </c>
      <c r="K37" s="23"/>
      <c r="L37" s="24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" x14ac:dyDescent="0.15">
      <c r="A38" s="57">
        <v>21</v>
      </c>
      <c r="B38" s="70" t="s">
        <v>150</v>
      </c>
      <c r="C38" s="74" t="s">
        <v>141</v>
      </c>
      <c r="D38" s="74">
        <v>1</v>
      </c>
      <c r="E38" s="74">
        <f>'Параметры для расчета'!D43</f>
        <v>1</v>
      </c>
      <c r="F38" s="75"/>
      <c r="G38" s="76">
        <f>Цены!C1</f>
        <v>2250</v>
      </c>
      <c r="H38" s="76">
        <f t="shared" si="2"/>
        <v>2250</v>
      </c>
      <c r="I38" s="77"/>
      <c r="J38" s="76">
        <f t="shared" si="3"/>
        <v>2250</v>
      </c>
      <c r="K38" s="23"/>
      <c r="L38" s="24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" x14ac:dyDescent="0.15">
      <c r="A39" s="57">
        <v>22</v>
      </c>
      <c r="B39" s="83" t="s">
        <v>63</v>
      </c>
      <c r="C39" s="82" t="s">
        <v>141</v>
      </c>
      <c r="D39" s="82">
        <v>1</v>
      </c>
      <c r="E39" s="82">
        <f>'Параметры для расчета'!D57</f>
        <v>13</v>
      </c>
      <c r="F39" s="84"/>
      <c r="G39" s="76">
        <f>'Параметры для расчета'!E57</f>
        <v>35</v>
      </c>
      <c r="H39" s="76">
        <f t="shared" ref="H39:H42" si="6">G39*E39</f>
        <v>455</v>
      </c>
      <c r="I39" s="76"/>
      <c r="J39" s="76">
        <f t="shared" ref="J39:J42" si="7">G39</f>
        <v>35</v>
      </c>
      <c r="K39" s="23"/>
      <c r="L39" s="24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" x14ac:dyDescent="0.15">
      <c r="A40" s="57">
        <v>23</v>
      </c>
      <c r="B40" s="83" t="s">
        <v>151</v>
      </c>
      <c r="C40" s="82" t="s">
        <v>141</v>
      </c>
      <c r="D40" s="82">
        <v>1</v>
      </c>
      <c r="E40" s="82">
        <f>'Параметры для расчета'!D59</f>
        <v>2</v>
      </c>
      <c r="F40" s="84"/>
      <c r="G40" s="76">
        <f>'Параметры для расчета'!E59</f>
        <v>450</v>
      </c>
      <c r="H40" s="76">
        <f t="shared" si="6"/>
        <v>900</v>
      </c>
      <c r="I40" s="76"/>
      <c r="J40" s="76">
        <f t="shared" si="7"/>
        <v>450</v>
      </c>
      <c r="K40" s="23"/>
      <c r="L40" s="24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" x14ac:dyDescent="0.15">
      <c r="A41" s="57">
        <v>24</v>
      </c>
      <c r="B41" s="83" t="s">
        <v>66</v>
      </c>
      <c r="C41" s="82" t="s">
        <v>141</v>
      </c>
      <c r="D41" s="82">
        <v>1</v>
      </c>
      <c r="E41" s="82">
        <f>'Параметры для расчета'!D60</f>
        <v>1</v>
      </c>
      <c r="F41" s="84"/>
      <c r="G41" s="76">
        <f>'Параметры для расчета'!E60</f>
        <v>100</v>
      </c>
      <c r="H41" s="76">
        <f t="shared" si="6"/>
        <v>100</v>
      </c>
      <c r="I41" s="76"/>
      <c r="J41" s="76">
        <f t="shared" si="7"/>
        <v>100</v>
      </c>
      <c r="K41" s="23"/>
      <c r="L41" s="24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" x14ac:dyDescent="0.15">
      <c r="A42" s="57">
        <v>25</v>
      </c>
      <c r="B42" s="83" t="s">
        <v>67</v>
      </c>
      <c r="C42" s="82" t="s">
        <v>141</v>
      </c>
      <c r="D42" s="82">
        <v>1</v>
      </c>
      <c r="E42" s="82">
        <f>'Параметры для расчета'!D61</f>
        <v>1</v>
      </c>
      <c r="F42" s="84"/>
      <c r="G42" s="76">
        <f>'Параметры для расчета'!E61</f>
        <v>190</v>
      </c>
      <c r="H42" s="76">
        <f t="shared" si="6"/>
        <v>190</v>
      </c>
      <c r="I42" s="76"/>
      <c r="J42" s="76">
        <f t="shared" si="7"/>
        <v>190</v>
      </c>
      <c r="K42" s="23"/>
      <c r="L42" s="24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" hidden="1" outlineLevel="1" x14ac:dyDescent="0.15">
      <c r="A43" s="57">
        <v>26</v>
      </c>
      <c r="B43" s="83" t="str">
        <f>IF('Ввод информации'!C30=TRUE," ",IF('Ввод информации'!C30=FALSE,'Параметры для расчета'!A51))</f>
        <v xml:space="preserve"> </v>
      </c>
      <c r="C43" s="82" t="str">
        <f>IF('Ввод информации'!C30=TRUE," ",IF('Ввод информации'!C30=FALSE,"шт"))</f>
        <v xml:space="preserve"> </v>
      </c>
      <c r="D43" s="82" t="str">
        <f>IF('Ввод информации'!C30=TRUE," ",IF('Ввод информации'!C30=FALSE,1))</f>
        <v xml:space="preserve"> </v>
      </c>
      <c r="E43" s="82">
        <f>IF('Ввод информации'!C30=TRUE,0,IF('Ввод информации'!C30=FALSE,'Параметры для расчета'!D51))</f>
        <v>0</v>
      </c>
      <c r="F43" s="84"/>
      <c r="G43" s="76">
        <f>IF('Ввод информации'!C30=TRUE,0,IF('Ввод информации'!C30=FALSE,'Параметры для расчета'!E51))</f>
        <v>0</v>
      </c>
      <c r="H43" s="76">
        <f t="shared" ref="H43:H46" si="8">G43*E43</f>
        <v>0</v>
      </c>
      <c r="I43" s="76"/>
      <c r="J43" s="76">
        <f t="shared" ref="J43:J46" si="9">G43</f>
        <v>0</v>
      </c>
      <c r="K43" s="23"/>
      <c r="L43" s="24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" hidden="1" outlineLevel="1" x14ac:dyDescent="0.15">
      <c r="A44" s="58" t="str">
        <f>IF('Ввод информации'!C30=TRUE," ",IF('Ввод информации'!C29=FALSE,27))</f>
        <v xml:space="preserve"> </v>
      </c>
      <c r="B44" s="83" t="str">
        <f>IF('Ввод информации'!C30=TRUE," ",IF('Ввод информации'!C30=FALSE,'Параметры для расчета'!A52))</f>
        <v xml:space="preserve"> </v>
      </c>
      <c r="C44" s="82" t="str">
        <f>IF('Ввод информации'!C30=TRUE," ",IF('Ввод информации'!C30=FALSE,"шт"))</f>
        <v xml:space="preserve"> </v>
      </c>
      <c r="D44" s="82" t="str">
        <f>IF('Ввод информации'!C30=TRUE," ",IF('Ввод информации'!C30=FALSE,1))</f>
        <v xml:space="preserve"> </v>
      </c>
      <c r="E44" s="82">
        <f>IF('Ввод информации'!C30=TRUE,0,IF('Ввод информации'!C30=FALSE,'Параметры для расчета'!D52))</f>
        <v>0</v>
      </c>
      <c r="F44" s="84"/>
      <c r="G44" s="76">
        <f>IF('Ввод информации'!C30=TRUE,0,IF('Ввод информации'!C30=FALSE,'Параметры для расчета'!E52))</f>
        <v>0</v>
      </c>
      <c r="H44" s="76">
        <f t="shared" si="8"/>
        <v>0</v>
      </c>
      <c r="I44" s="76"/>
      <c r="J44" s="76">
        <f t="shared" si="9"/>
        <v>0</v>
      </c>
      <c r="K44" s="23"/>
      <c r="L44" s="2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" hidden="1" outlineLevel="1" x14ac:dyDescent="0.15">
      <c r="A45" s="58" t="str">
        <f>IF('Ввод информации'!C30=TRUE," ",IF('Ввод информации'!C30=FALSE,28))</f>
        <v xml:space="preserve"> </v>
      </c>
      <c r="B45" s="83" t="str">
        <f>IF('Ввод информации'!C30=TRUE," ",IF('Ввод информации'!C30=FALSE,'Параметры для расчета'!A53))</f>
        <v xml:space="preserve"> </v>
      </c>
      <c r="C45" s="82" t="str">
        <f>IF('Ввод информации'!C30=TRUE," ",IF('Ввод информации'!C30=FALSE,"шт"))</f>
        <v xml:space="preserve"> </v>
      </c>
      <c r="D45" s="82" t="str">
        <f>IF('Ввод информации'!C30=TRUE," ",IF('Ввод информации'!C30=FALSE,1))</f>
        <v xml:space="preserve"> </v>
      </c>
      <c r="E45" s="82">
        <f>IF('Ввод информации'!C30=TRUE,0,IF('Ввод информации'!C30=FALSE,'Параметры для расчета'!D53))</f>
        <v>0</v>
      </c>
      <c r="F45" s="84"/>
      <c r="G45" s="76">
        <f>IF('Ввод информации'!C30=TRUE,0,IF('Ввод информации'!C30=FALSE,'Параметры для расчета'!E53))</f>
        <v>0</v>
      </c>
      <c r="H45" s="76">
        <f t="shared" si="8"/>
        <v>0</v>
      </c>
      <c r="I45" s="76"/>
      <c r="J45" s="76">
        <f t="shared" si="9"/>
        <v>0</v>
      </c>
      <c r="K45" s="23"/>
      <c r="L45" s="2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" outlineLevel="1" x14ac:dyDescent="0.15">
      <c r="A46" s="58">
        <v>26</v>
      </c>
      <c r="B46" s="88" t="s">
        <v>284</v>
      </c>
      <c r="C46" s="89" t="s">
        <v>141</v>
      </c>
      <c r="D46" s="82">
        <v>1</v>
      </c>
      <c r="E46" s="82">
        <v>1</v>
      </c>
      <c r="F46" s="84"/>
      <c r="G46" s="76">
        <v>33500</v>
      </c>
      <c r="H46" s="76">
        <f t="shared" si="8"/>
        <v>33500</v>
      </c>
      <c r="I46" s="76"/>
      <c r="J46" s="76">
        <f t="shared" si="9"/>
        <v>33500</v>
      </c>
      <c r="K46" s="23"/>
      <c r="L46" s="2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" x14ac:dyDescent="0.15">
      <c r="A47" s="59"/>
      <c r="B47" s="85" t="str">
        <f>IF('Ввод информации'!C30=TRUE,'Параметры для расчета'!A63,IF('Ввод информации'!C30=FALSE," "))</f>
        <v>Фундамент</v>
      </c>
      <c r="C47" s="74"/>
      <c r="D47" s="74"/>
      <c r="E47" s="86">
        <v>1</v>
      </c>
      <c r="F47" s="75"/>
      <c r="G47" s="76"/>
      <c r="H47" s="76"/>
      <c r="I47" s="76"/>
      <c r="J47" s="76"/>
      <c r="K47" s="23"/>
      <c r="L47" s="24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" outlineLevel="1" x14ac:dyDescent="0.15">
      <c r="A48" s="58">
        <f>IF('Ввод информации'!C30=TRUE,27,IF('Ввод информации'!C30=FALSE," "))</f>
        <v>27</v>
      </c>
      <c r="B48" s="87" t="str">
        <f>IF('Ввод информации'!C30=TRUE,'Параметры для расчета'!A64,IF('Ввод информации'!C30=FALSE," "))</f>
        <v>Бетон марки М300 W8 степень текучести Р4</v>
      </c>
      <c r="C48" s="82" t="str">
        <f>IF('Ввод информации'!C30=TRUE,"м3", IF('Ввод информации'!C30=FALSE, ))</f>
        <v>м3</v>
      </c>
      <c r="D48" s="82">
        <f>IF('Ввод информации'!C30=TRUE,1, IF('Ввод информации'!C30=FALSE,0))</f>
        <v>1</v>
      </c>
      <c r="E48" s="82">
        <f>IF('Ввод информации'!C30=TRUE,'Параметры для расчета'!C64, IF('Ввод информации'!C30=FALSE,0))</f>
        <v>9.6</v>
      </c>
      <c r="F48" s="84"/>
      <c r="G48" s="76">
        <f>IF('Ввод информации'!C30=TRUE,Цены!C172, IF('Ввод информации'!C30=FALSE,0))</f>
        <v>6900</v>
      </c>
      <c r="H48" s="76">
        <f t="shared" ref="H48:H57" si="10">E48*G48</f>
        <v>66240</v>
      </c>
      <c r="I48" s="76"/>
      <c r="J48" s="76">
        <f t="shared" ref="J48:J57" si="11">H48</f>
        <v>66240</v>
      </c>
      <c r="K48" s="23"/>
      <c r="L48" s="24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" outlineLevel="1" x14ac:dyDescent="0.15">
      <c r="A49" s="58">
        <f>IF('Ввод информации'!C30=TRUE,28,IF('Ввод информации'!C30=FALSE," "))</f>
        <v>28</v>
      </c>
      <c r="B49" s="87" t="str">
        <f>IF('Ввод информации'!C30=TRUE,'Параметры для расчета'!A65,IF('Ввод информации'!C30=FALSE," "))</f>
        <v>Доска 40х200х6000 естественной влажности для опалубки</v>
      </c>
      <c r="C49" s="82" t="str">
        <f>IF('Ввод информации'!C30=TRUE,"м3", IF('Ввод информации'!C30=FALSE, ))</f>
        <v>м3</v>
      </c>
      <c r="D49" s="82">
        <f>IF('Ввод информации'!C30=TRUE,1, IF('Ввод информации'!C30=FALSE,0))</f>
        <v>1</v>
      </c>
      <c r="E49" s="82">
        <f>IF('Ввод информации'!C30=TRUE,'Параметры для расчета'!D65, IF('Ввод информации'!C30=FALSE,0))</f>
        <v>2.3760000000000003</v>
      </c>
      <c r="F49" s="84"/>
      <c r="G49" s="76">
        <f>IF('Ввод информации'!C30=TRUE,Цены!C173, IF('Ввод информации'!C30=FALSE,0))</f>
        <v>14500</v>
      </c>
      <c r="H49" s="76">
        <f t="shared" si="10"/>
        <v>34452.000000000007</v>
      </c>
      <c r="I49" s="76"/>
      <c r="J49" s="76">
        <f t="shared" si="11"/>
        <v>34452.000000000007</v>
      </c>
      <c r="K49" s="23"/>
      <c r="L49" s="24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" outlineLevel="1" x14ac:dyDescent="0.15">
      <c r="A50" s="58">
        <f>IF('Ввод информации'!C30=TRUE,29,IF('Ввод информации'!C30=FALSE," "))</f>
        <v>29</v>
      </c>
      <c r="B50" s="87" t="str">
        <f>IF('Ввод информации'!C30=TRUE,'Параметры для расчета'!A66,IF('Ввод информации'!C30=FALSE," "))</f>
        <v>Фиксатор арматуры стульчик</v>
      </c>
      <c r="C50" s="82" t="str">
        <f>IF('Ввод информации'!C30=TRUE,"шт", IF('Ввод информации'!C30=FALSE, ))</f>
        <v>шт</v>
      </c>
      <c r="D50" s="82">
        <f>IF('Ввод информации'!C30=TRUE,1, IF('Ввод информации'!C30=FALSE,0))</f>
        <v>1</v>
      </c>
      <c r="E50" s="82">
        <f>IF('Ввод информации'!C30=TRUE,'Параметры для расчета'!D66, IF('Ввод информации'!C30=FALSE,0))</f>
        <v>600</v>
      </c>
      <c r="F50" s="84"/>
      <c r="G50" s="76">
        <f>IF('Ввод информации'!C30=TRUE,Цены!C174, IF('Ввод информации'!C30=FALSE,0))</f>
        <v>3.5</v>
      </c>
      <c r="H50" s="76">
        <f t="shared" si="10"/>
        <v>2100</v>
      </c>
      <c r="I50" s="76"/>
      <c r="J50" s="76">
        <f t="shared" si="11"/>
        <v>2100</v>
      </c>
      <c r="K50" s="23"/>
      <c r="L50" s="24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" outlineLevel="1" x14ac:dyDescent="0.15">
      <c r="A51" s="58">
        <f>IF('Ввод информации'!C30=TRUE,31,IF('Ввод информации'!C30=FALSE," "))</f>
        <v>31</v>
      </c>
      <c r="B51" s="87" t="str">
        <f>IF('Ввод информации'!C30=TRUE,'Параметры для расчета'!A67,IF('Ввод информации'!C30=FALSE," "))</f>
        <v>Фиксатор арматуры звездочка</v>
      </c>
      <c r="C51" s="82" t="str">
        <f>IF('Ввод информации'!C30=TRUE,"шт", IF('Ввод информации'!C30=FALSE, ))</f>
        <v>шт</v>
      </c>
      <c r="D51" s="82">
        <f>IF('Ввод информации'!C30=TRUE,1, IF('Ввод информации'!C30=FALSE,0))</f>
        <v>1</v>
      </c>
      <c r="E51" s="82">
        <f>IF('Ввод информации'!C30=TRUE,'Параметры для расчета'!D67, IF('Ввод информации'!C30=FALSE,0))</f>
        <v>600</v>
      </c>
      <c r="F51" s="84"/>
      <c r="G51" s="76">
        <f>IF('Ввод информации'!C30=TRUE,Цены!C175, IF('Ввод информации'!C30=FALSE,0))</f>
        <v>3.5</v>
      </c>
      <c r="H51" s="76">
        <f t="shared" si="10"/>
        <v>2100</v>
      </c>
      <c r="I51" s="76"/>
      <c r="J51" s="76">
        <f t="shared" si="11"/>
        <v>2100</v>
      </c>
      <c r="K51" s="23"/>
      <c r="L51" s="24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" outlineLevel="1" x14ac:dyDescent="0.15">
      <c r="A52" s="58">
        <f>IF('Ввод информации'!C30=TRUE,32,IF('Ввод информации'!C30=FALSE," "))</f>
        <v>32</v>
      </c>
      <c r="B52" s="87" t="str">
        <f>IF('Ввод информации'!C30=TRUE,'Параметры для расчета'!A68,IF('Ввод информации'!C30=FALSE," "))</f>
        <v>Пленка техническая 150мкр рукав 1,5 метра</v>
      </c>
      <c r="C52" s="82" t="str">
        <f>IF('Ввод информации'!C30=TRUE,"м.п.", IF('Ввод информации'!C30=FALSE, ))</f>
        <v>м.п.</v>
      </c>
      <c r="D52" s="82">
        <f>IF('Ввод информации'!C30=TRUE,1, IF('Ввод информации'!C30=FALSE,0))</f>
        <v>1</v>
      </c>
      <c r="E52" s="82">
        <f>IF('Ввод информации'!C30=TRUE,'Параметры для расчета'!D68, IF('Ввод информации'!C30=FALSE,0))</f>
        <v>74</v>
      </c>
      <c r="F52" s="84"/>
      <c r="G52" s="76">
        <f>IF('Ввод информации'!C30=TRUE,Цены!C176, IF('Ввод информации'!C30=FALSE,0))</f>
        <v>45</v>
      </c>
      <c r="H52" s="76">
        <f t="shared" si="10"/>
        <v>3330</v>
      </c>
      <c r="I52" s="76"/>
      <c r="J52" s="76">
        <f t="shared" si="11"/>
        <v>3330</v>
      </c>
      <c r="K52" s="23"/>
      <c r="L52" s="24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" outlineLevel="1" x14ac:dyDescent="0.15">
      <c r="A53" s="58">
        <f>IF('Ввод информации'!C30=TRUE,33,IF('Ввод информации'!C30=FALSE," "))</f>
        <v>33</v>
      </c>
      <c r="B53" s="87" t="str">
        <f>IF('Ввод информации'!C30=TRUE,'Параметры для расчета'!A69,IF('Ввод информации'!C30=FALSE," "))</f>
        <v>Саморезы для опалубки</v>
      </c>
      <c r="C53" s="82" t="str">
        <f>IF('Ввод информации'!C30=TRUE,"шт", IF('Ввод информации'!C30=FALSE, ))</f>
        <v>шт</v>
      </c>
      <c r="D53" s="82">
        <f>IF('Ввод информации'!C30=TRUE,1, IF('Ввод информации'!C30=FALSE,0))</f>
        <v>1</v>
      </c>
      <c r="E53" s="82">
        <f>IF('Ввод информации'!C30=TRUE,'Параметры для расчета'!D69, IF('Ввод информации'!C30=FALSE,0))</f>
        <v>7</v>
      </c>
      <c r="F53" s="84"/>
      <c r="G53" s="76">
        <v>450</v>
      </c>
      <c r="H53" s="76">
        <f t="shared" si="10"/>
        <v>3150</v>
      </c>
      <c r="I53" s="76"/>
      <c r="J53" s="76">
        <f t="shared" si="11"/>
        <v>3150</v>
      </c>
      <c r="K53" s="23"/>
      <c r="L53" s="24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" outlineLevel="1" x14ac:dyDescent="0.15">
      <c r="A54" s="58">
        <f>IF('Ввод информации'!C30=TRUE,34,IF('Ввод информации'!C30=FALSE," "))</f>
        <v>34</v>
      </c>
      <c r="B54" s="87" t="str">
        <f>IF('Ввод информации'!C30=TRUE,'Параметры для расчета'!A70,IF('Ввод информации'!C30=FALSE," "))</f>
        <v>Арматура 12 мм А500С ГОСТ 52544-2006</v>
      </c>
      <c r="C54" s="82" t="str">
        <f>IF('Ввод информации'!C30=TRUE,"м.п.", IF('Ввод информации'!C30=FALSE, ))</f>
        <v>м.п.</v>
      </c>
      <c r="D54" s="82">
        <f>IF('Ввод информации'!C30=TRUE,1, IF('Ввод информации'!C30=FALSE,0))</f>
        <v>1</v>
      </c>
      <c r="E54" s="82">
        <f>IF('Ввод информации'!C30=TRUE,'Параметры для расчета'!D70, IF('Ввод информации'!C30=FALSE,0))</f>
        <v>299.76068376068378</v>
      </c>
      <c r="F54" s="84"/>
      <c r="G54" s="76">
        <f>IF('Ввод информации'!C30=TRUE,Цены!C178, IF('Ввод информации'!C30=FALSE,0))</f>
        <v>63</v>
      </c>
      <c r="H54" s="76">
        <f t="shared" si="10"/>
        <v>18884.923076923078</v>
      </c>
      <c r="I54" s="76"/>
      <c r="J54" s="76">
        <f t="shared" si="11"/>
        <v>18884.923076923078</v>
      </c>
      <c r="K54" s="23"/>
      <c r="L54" s="24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" outlineLevel="1" x14ac:dyDescent="0.15">
      <c r="A55" s="58">
        <f>IF('Ввод информации'!C30=TRUE,35,IF('Ввод информации'!C30=FALSE," "))</f>
        <v>35</v>
      </c>
      <c r="B55" s="87" t="str">
        <f>IF('Ввод информации'!C30=TRUE,'Параметры для расчета'!A71,IF('Ввод информации'!C30=FALSE," "))</f>
        <v>Катанка 6.5 мм для поперечного сечения</v>
      </c>
      <c r="C55" s="82" t="str">
        <f>IF('Ввод информации'!C30=TRUE,"м.п.", IF('Ввод информации'!C30=FALSE, ))</f>
        <v>м.п.</v>
      </c>
      <c r="D55" s="82">
        <f>IF('Ввод информации'!C30=TRUE,1, IF('Ввод информации'!C30=FALSE,0))</f>
        <v>1</v>
      </c>
      <c r="E55" s="82">
        <f>IF('Ввод информации'!C30=TRUE,'Параметры для расчета'!D71, IF('Ввод информации'!C30=FALSE,0))</f>
        <v>417.95</v>
      </c>
      <c r="F55" s="84"/>
      <c r="G55" s="76">
        <f>IF('Ввод информации'!C30=TRUE,Цены!C179, IF('Ввод информации'!C30=FALSE,0))</f>
        <v>22</v>
      </c>
      <c r="H55" s="76">
        <f t="shared" si="10"/>
        <v>9194.9</v>
      </c>
      <c r="I55" s="76"/>
      <c r="J55" s="76">
        <f t="shared" si="11"/>
        <v>9194.9</v>
      </c>
      <c r="K55" s="23"/>
      <c r="L55" s="24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22" customHeight="1" outlineLevel="1" x14ac:dyDescent="0.15">
      <c r="A56" s="58">
        <f>IF('Ввод информации'!C30=TRUE,36,IF('Ввод информации'!C30=FALSE," "))</f>
        <v>36</v>
      </c>
      <c r="B56" s="115" t="str">
        <f>IF('Ввод информации'!C30=TRUE,'Параметры для расчета'!A72,IF('Ввод информации'!C30=FALSE," "))</f>
        <v xml:space="preserve">Проволка для связки опалубки 3мм катанка
</v>
      </c>
      <c r="C56" s="82" t="str">
        <f>IF('Ввод информации'!C30=TRUE,"кг", IF('Ввод информации'!C30=FALSE, ))</f>
        <v>кг</v>
      </c>
      <c r="D56" s="82">
        <f>IF('Ввод информации'!C30=TRUE,1, IF('Ввод информации'!C30=FALSE,0))</f>
        <v>1</v>
      </c>
      <c r="E56" s="82">
        <f>IF('Ввод информации'!C30=TRUE,'Параметры для расчета'!C72, IF('Ввод информации'!C30=FALSE,0))</f>
        <v>16</v>
      </c>
      <c r="F56" s="84"/>
      <c r="G56" s="76">
        <f>IF('Ввод информации'!C30=TRUE,Цены!C180, IF('Ввод информации'!C30=FALSE,0))</f>
        <v>350</v>
      </c>
      <c r="H56" s="76">
        <f t="shared" si="10"/>
        <v>5600</v>
      </c>
      <c r="I56" s="76"/>
      <c r="J56" s="76">
        <f t="shared" si="11"/>
        <v>5600</v>
      </c>
      <c r="K56" s="23"/>
      <c r="L56" s="24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" x14ac:dyDescent="0.15">
      <c r="A57" s="60"/>
      <c r="B57" s="70" t="s">
        <v>62</v>
      </c>
      <c r="C57" s="74" t="s">
        <v>141</v>
      </c>
      <c r="D57" s="74">
        <v>1</v>
      </c>
      <c r="E57" s="74">
        <v>1</v>
      </c>
      <c r="F57" s="75"/>
      <c r="G57" s="76">
        <v>16500</v>
      </c>
      <c r="H57" s="76">
        <f t="shared" si="10"/>
        <v>16500</v>
      </c>
      <c r="I57" s="77"/>
      <c r="J57" s="76">
        <f t="shared" si="11"/>
        <v>16500</v>
      </c>
      <c r="K57" s="23"/>
      <c r="L57" s="24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31.5" customHeight="1" x14ac:dyDescent="0.15">
      <c r="A58" s="46"/>
      <c r="B58" s="64"/>
      <c r="C58" s="64"/>
      <c r="D58" s="64"/>
      <c r="E58" s="65">
        <v>1</v>
      </c>
      <c r="F58" s="66"/>
      <c r="G58" s="67" t="s">
        <v>152</v>
      </c>
      <c r="H58" s="68">
        <f t="shared" ref="H58:J58" si="12">SUM(H16:H57)</f>
        <v>807506.82307692314</v>
      </c>
      <c r="I58" s="69">
        <f t="shared" si="12"/>
        <v>240015</v>
      </c>
      <c r="J58" s="69">
        <f t="shared" si="12"/>
        <v>566621.82307692314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3" x14ac:dyDescent="0.15">
      <c r="A59" s="24"/>
      <c r="B59" s="25"/>
      <c r="C59" s="25"/>
      <c r="D59" s="25"/>
      <c r="E59" s="47">
        <v>1</v>
      </c>
      <c r="F59" s="25"/>
      <c r="G59" s="25"/>
      <c r="H59" s="25"/>
      <c r="I59" s="25"/>
      <c r="J59" s="25"/>
      <c r="K59" s="23"/>
      <c r="L59" s="24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3" x14ac:dyDescent="0.15">
      <c r="A60" s="24"/>
      <c r="B60" s="48" t="s">
        <v>153</v>
      </c>
      <c r="C60" s="49">
        <f>H58</f>
        <v>807506.82307692314</v>
      </c>
      <c r="D60" s="25"/>
      <c r="E60" s="47">
        <v>1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3" x14ac:dyDescent="0.15">
      <c r="A61" s="24"/>
      <c r="B61" s="50"/>
      <c r="C61" s="25"/>
      <c r="D61" s="25"/>
      <c r="E61" s="47">
        <v>1</v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3" x14ac:dyDescent="0.15">
      <c r="A62" s="24"/>
      <c r="B62" s="25" t="s">
        <v>154</v>
      </c>
      <c r="C62" s="101" t="s">
        <v>155</v>
      </c>
      <c r="D62" s="91"/>
      <c r="E62" s="102" t="s">
        <v>156</v>
      </c>
      <c r="F62" s="91"/>
      <c r="G62" s="25"/>
      <c r="H62" s="25" t="s">
        <v>157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3" x14ac:dyDescent="0.15">
      <c r="A63" s="24"/>
      <c r="B63" s="25"/>
      <c r="C63" s="25"/>
      <c r="D63" s="25"/>
      <c r="E63" s="47">
        <v>1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3" x14ac:dyDescent="0.15">
      <c r="A64" s="24"/>
      <c r="B64" s="25"/>
      <c r="C64" s="25" t="s">
        <v>158</v>
      </c>
      <c r="D64" s="25"/>
      <c r="E64" s="51">
        <v>1</v>
      </c>
      <c r="F64" s="25"/>
      <c r="G64" s="25"/>
      <c r="H64" s="101" t="s">
        <v>159</v>
      </c>
      <c r="I64" s="91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3" x14ac:dyDescent="0.15">
      <c r="A65" s="24"/>
      <c r="B65" s="25"/>
      <c r="C65" s="25" t="s">
        <v>160</v>
      </c>
      <c r="D65" s="25"/>
      <c r="E65" s="51">
        <v>1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</sheetData>
  <mergeCells count="18">
    <mergeCell ref="H12:I12"/>
    <mergeCell ref="F13:G13"/>
    <mergeCell ref="H13:J13"/>
    <mergeCell ref="F14:G14"/>
    <mergeCell ref="I14:J14"/>
    <mergeCell ref="G8:J8"/>
    <mergeCell ref="G9:J9"/>
    <mergeCell ref="A10:C10"/>
    <mergeCell ref="H10:I10"/>
    <mergeCell ref="H11:I11"/>
    <mergeCell ref="C62:D62"/>
    <mergeCell ref="E62:F62"/>
    <mergeCell ref="H64:I64"/>
    <mergeCell ref="A13:A15"/>
    <mergeCell ref="D13:D15"/>
    <mergeCell ref="H14:H15"/>
    <mergeCell ref="B13:B15"/>
    <mergeCell ref="C13:C15"/>
  </mergeCells>
  <printOptions horizontalCentered="1" gridLines="1"/>
  <pageMargins left="0.25" right="0.25" top="0.75" bottom="0.75" header="0" footer="0"/>
  <pageSetup paperSize="9" scale="62" fitToHeight="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64"/>
  <sheetViews>
    <sheetView workbookViewId="0"/>
  </sheetViews>
  <sheetFormatPr baseColWidth="10" defaultColWidth="12.6640625" defaultRowHeight="15.75" customHeight="1" x14ac:dyDescent="0.15"/>
  <cols>
    <col min="1" max="1" width="51" customWidth="1"/>
    <col min="3" max="3" width="38.83203125" customWidth="1"/>
    <col min="6" max="6" width="26.5" customWidth="1"/>
  </cols>
  <sheetData>
    <row r="1" spans="1:27" ht="15.75" customHeight="1" x14ac:dyDescent="0.15">
      <c r="A1" s="52" t="s">
        <v>161</v>
      </c>
      <c r="B1" s="20"/>
      <c r="C1" s="20">
        <v>2250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5.75" customHeight="1" x14ac:dyDescent="0.15">
      <c r="A2" s="52" t="s">
        <v>162</v>
      </c>
      <c r="B2" s="20"/>
      <c r="C2" s="20">
        <v>45500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5.75" customHeight="1" x14ac:dyDescent="0.15">
      <c r="A3" s="52" t="s">
        <v>163</v>
      </c>
      <c r="B3" s="20"/>
      <c r="C3" s="20">
        <v>19500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5.75" customHeight="1" x14ac:dyDescent="0.15">
      <c r="A4" s="52" t="s">
        <v>164</v>
      </c>
      <c r="B4" s="20"/>
      <c r="C4" s="20">
        <v>9500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5.75" customHeight="1" x14ac:dyDescent="0.15">
      <c r="A5" s="52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5.75" customHeight="1" x14ac:dyDescent="0.15">
      <c r="A6" s="52" t="s">
        <v>165</v>
      </c>
      <c r="B6" s="20"/>
      <c r="C6" s="20">
        <v>944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5.75" customHeight="1" x14ac:dyDescent="0.15">
      <c r="A7" s="52" t="s">
        <v>166</v>
      </c>
      <c r="B7" s="20"/>
      <c r="C7" s="20">
        <v>1042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5.75" customHeight="1" x14ac:dyDescent="0.15">
      <c r="A8" s="52" t="s">
        <v>167</v>
      </c>
      <c r="B8" s="20"/>
      <c r="C8" s="20">
        <v>772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5.75" customHeight="1" x14ac:dyDescent="0.15">
      <c r="A9" s="52" t="s">
        <v>168</v>
      </c>
      <c r="B9" s="20"/>
      <c r="C9" s="20">
        <v>1273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5.75" customHeight="1" x14ac:dyDescent="0.15">
      <c r="A10" s="52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5.75" customHeight="1" x14ac:dyDescent="0.15">
      <c r="A11" s="52" t="s">
        <v>169</v>
      </c>
      <c r="B11" s="20"/>
      <c r="C11" s="20">
        <v>344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5.75" customHeight="1" x14ac:dyDescent="0.15">
      <c r="A12" s="52"/>
      <c r="B12" s="53"/>
      <c r="C12" s="53"/>
      <c r="D12" s="53"/>
      <c r="E12" s="53"/>
      <c r="F12" s="53"/>
      <c r="G12" s="53"/>
      <c r="H12" s="53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5.75" customHeight="1" x14ac:dyDescent="0.15">
      <c r="A13" s="52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5.75" customHeight="1" x14ac:dyDescent="0.15">
      <c r="A14" s="52" t="s">
        <v>59</v>
      </c>
      <c r="B14" s="20"/>
      <c r="C14" s="20">
        <v>450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5.75" customHeight="1" x14ac:dyDescent="0.15">
      <c r="A15" s="52" t="s">
        <v>60</v>
      </c>
      <c r="B15" s="20"/>
      <c r="C15" s="20">
        <v>160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5.75" customHeight="1" x14ac:dyDescent="0.15">
      <c r="A16" s="52" t="s">
        <v>61</v>
      </c>
      <c r="B16" s="20"/>
      <c r="C16" s="20">
        <v>160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5.75" customHeight="1" x14ac:dyDescent="0.15">
      <c r="A17" s="52" t="s">
        <v>57</v>
      </c>
      <c r="B17" s="20"/>
      <c r="C17" s="20">
        <v>2200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5.75" customHeight="1" x14ac:dyDescent="0.15">
      <c r="A18" s="52" t="s">
        <v>56</v>
      </c>
      <c r="B18" s="20"/>
      <c r="C18" s="20">
        <v>2600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5.75" customHeight="1" x14ac:dyDescent="0.15">
      <c r="A19" s="52" t="s">
        <v>170</v>
      </c>
      <c r="B19" s="20"/>
      <c r="C19" s="20">
        <v>362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5.75" customHeight="1" x14ac:dyDescent="0.15">
      <c r="A20" s="52" t="s">
        <v>148</v>
      </c>
      <c r="B20" s="20"/>
      <c r="C20" s="20">
        <v>250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5.75" customHeight="1" x14ac:dyDescent="0.15">
      <c r="A21" s="52" t="s">
        <v>147</v>
      </c>
      <c r="B21" s="20"/>
      <c r="C21" s="20">
        <v>9500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5.75" customHeight="1" x14ac:dyDescent="0.15">
      <c r="A22" s="52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5.75" customHeight="1" x14ac:dyDescent="0.15">
      <c r="A23" s="52" t="s">
        <v>40</v>
      </c>
      <c r="B23" s="20"/>
      <c r="C23" s="20">
        <v>32000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5.75" customHeight="1" x14ac:dyDescent="0.15">
      <c r="A24" s="52" t="s">
        <v>41</v>
      </c>
      <c r="B24" s="20"/>
      <c r="C24" s="20">
        <v>7500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5.75" customHeight="1" x14ac:dyDescent="0.15">
      <c r="A25" s="52" t="s">
        <v>42</v>
      </c>
      <c r="B25" s="20"/>
      <c r="C25" s="20">
        <v>4500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5.75" customHeight="1" x14ac:dyDescent="0.15">
      <c r="A26" s="52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5.75" customHeight="1" x14ac:dyDescent="0.15">
      <c r="A27" s="54" t="s">
        <v>171</v>
      </c>
      <c r="B27" s="55"/>
      <c r="C27" s="55" t="s">
        <v>172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5.75" customHeight="1" x14ac:dyDescent="0.15">
      <c r="A28" s="52" t="s">
        <v>173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.75" customHeight="1" x14ac:dyDescent="0.15">
      <c r="A29" s="52" t="s">
        <v>174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5.75" customHeight="1" x14ac:dyDescent="0.15">
      <c r="A30" s="52" t="s">
        <v>175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.75" customHeight="1" x14ac:dyDescent="0.15">
      <c r="A31" s="52" t="s">
        <v>176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5.75" customHeight="1" x14ac:dyDescent="0.15">
      <c r="A32" s="52" t="s">
        <v>177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5.75" customHeight="1" x14ac:dyDescent="0.15">
      <c r="A33" s="52" t="s">
        <v>178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5.75" customHeight="1" x14ac:dyDescent="0.15">
      <c r="A34" s="52" t="s">
        <v>179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5.75" customHeight="1" x14ac:dyDescent="0.15">
      <c r="A35" s="52" t="s">
        <v>180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5.75" customHeight="1" x14ac:dyDescent="0.15">
      <c r="A36" s="52" t="s">
        <v>181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5.75" customHeight="1" x14ac:dyDescent="0.15">
      <c r="A37" s="52" t="s">
        <v>182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5.75" customHeight="1" x14ac:dyDescent="0.15">
      <c r="A38" s="52" t="s">
        <v>183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5.75" customHeight="1" x14ac:dyDescent="0.15">
      <c r="A39" s="52" t="s">
        <v>184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5.75" customHeight="1" x14ac:dyDescent="0.15">
      <c r="A40" s="52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5.75" customHeight="1" x14ac:dyDescent="0.15">
      <c r="A41" s="52" t="s">
        <v>185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5.75" customHeight="1" x14ac:dyDescent="0.15">
      <c r="A42" s="52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5.75" customHeight="1" x14ac:dyDescent="0.15">
      <c r="A43" s="54" t="s">
        <v>186</v>
      </c>
      <c r="B43" s="55"/>
      <c r="C43" s="55" t="s">
        <v>187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5.75" customHeight="1" x14ac:dyDescent="0.15">
      <c r="A44" s="52" t="s">
        <v>188</v>
      </c>
      <c r="B44" s="20">
        <v>348</v>
      </c>
      <c r="C44" s="20">
        <v>342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5.75" customHeight="1" x14ac:dyDescent="0.15">
      <c r="A45" s="52" t="s">
        <v>189</v>
      </c>
      <c r="B45" s="20">
        <v>384</v>
      </c>
      <c r="C45" s="20">
        <v>377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5.75" customHeight="1" x14ac:dyDescent="0.15">
      <c r="A46" s="52" t="s">
        <v>190</v>
      </c>
      <c r="B46" s="20">
        <v>400</v>
      </c>
      <c r="C46" s="20">
        <v>394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4" x14ac:dyDescent="0.15">
      <c r="A47" s="52" t="s">
        <v>191</v>
      </c>
      <c r="B47" s="20">
        <v>434</v>
      </c>
      <c r="C47" s="20">
        <v>430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4" x14ac:dyDescent="0.15">
      <c r="A48" s="52" t="s">
        <v>8</v>
      </c>
      <c r="B48" s="20">
        <v>465</v>
      </c>
      <c r="C48" s="20">
        <v>460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4" x14ac:dyDescent="0.15">
      <c r="A49" s="52" t="s">
        <v>192</v>
      </c>
      <c r="B49" s="20">
        <v>486</v>
      </c>
      <c r="C49" s="20">
        <v>486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4" x14ac:dyDescent="0.15">
      <c r="A50" s="52" t="s">
        <v>193</v>
      </c>
      <c r="B50" s="20"/>
      <c r="C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4" x14ac:dyDescent="0.15">
      <c r="A51" s="52" t="s">
        <v>194</v>
      </c>
      <c r="B51" s="20">
        <v>505</v>
      </c>
      <c r="C51" s="20">
        <v>505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4" x14ac:dyDescent="0.15">
      <c r="A52" s="52" t="s">
        <v>195</v>
      </c>
      <c r="B52" s="20">
        <v>526</v>
      </c>
      <c r="C52" s="20">
        <v>526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4" x14ac:dyDescent="0.15">
      <c r="A53" s="52" t="s">
        <v>196</v>
      </c>
      <c r="B53" s="20">
        <v>505</v>
      </c>
      <c r="C53" s="20">
        <v>625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4" x14ac:dyDescent="0.15">
      <c r="A54" s="52" t="s">
        <v>197</v>
      </c>
      <c r="B54" s="20">
        <v>674</v>
      </c>
      <c r="C54" s="20">
        <v>739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4" x14ac:dyDescent="0.15">
      <c r="A55" s="52" t="s">
        <v>93</v>
      </c>
      <c r="B55" s="20">
        <v>42</v>
      </c>
      <c r="C55" s="20">
        <v>42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4" x14ac:dyDescent="0.15">
      <c r="A56" s="52" t="s">
        <v>94</v>
      </c>
      <c r="B56" s="20">
        <v>55</v>
      </c>
      <c r="C56" s="20">
        <v>55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4" x14ac:dyDescent="0.15">
      <c r="A57" s="52" t="s">
        <v>95</v>
      </c>
      <c r="B57" s="20">
        <v>62</v>
      </c>
      <c r="C57" s="20">
        <v>62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4" x14ac:dyDescent="0.15">
      <c r="A58" s="52" t="s">
        <v>96</v>
      </c>
      <c r="B58" s="20">
        <v>69</v>
      </c>
      <c r="C58" s="20">
        <v>69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4" x14ac:dyDescent="0.15">
      <c r="A59" s="52" t="s">
        <v>97</v>
      </c>
      <c r="B59" s="20">
        <v>70</v>
      </c>
      <c r="C59" s="20">
        <v>70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4" x14ac:dyDescent="0.15">
      <c r="A60" s="52" t="s">
        <v>98</v>
      </c>
      <c r="B60" s="20">
        <v>95</v>
      </c>
      <c r="C60" s="20">
        <v>95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4" x14ac:dyDescent="0.15">
      <c r="A61" s="52" t="s">
        <v>99</v>
      </c>
      <c r="B61" s="20">
        <v>124</v>
      </c>
      <c r="C61" s="20">
        <v>124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4" x14ac:dyDescent="0.15">
      <c r="A62" s="52" t="s">
        <v>100</v>
      </c>
      <c r="B62" s="20">
        <v>138</v>
      </c>
      <c r="C62" s="20">
        <v>138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4" x14ac:dyDescent="0.15">
      <c r="A63" s="52" t="s">
        <v>101</v>
      </c>
      <c r="B63" s="20">
        <v>155</v>
      </c>
      <c r="C63" s="20">
        <v>155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4" x14ac:dyDescent="0.15">
      <c r="A64" s="52" t="s">
        <v>102</v>
      </c>
      <c r="B64" s="20">
        <v>158</v>
      </c>
      <c r="C64" s="20">
        <v>158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4" x14ac:dyDescent="0.15">
      <c r="A65" s="52" t="s">
        <v>103</v>
      </c>
      <c r="B65" s="20">
        <v>110</v>
      </c>
      <c r="C65" s="20">
        <v>110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4" x14ac:dyDescent="0.15">
      <c r="A66" s="52" t="s">
        <v>104</v>
      </c>
      <c r="B66" s="20">
        <v>144</v>
      </c>
      <c r="C66" s="20">
        <v>144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4" x14ac:dyDescent="0.15">
      <c r="A67" s="52" t="s">
        <v>105</v>
      </c>
      <c r="B67" s="20">
        <v>161</v>
      </c>
      <c r="C67" s="20">
        <v>161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4" x14ac:dyDescent="0.15">
      <c r="A68" s="52" t="s">
        <v>106</v>
      </c>
      <c r="B68" s="20">
        <v>181</v>
      </c>
      <c r="C68" s="20">
        <v>181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4" x14ac:dyDescent="0.15">
      <c r="A69" s="52" t="s">
        <v>107</v>
      </c>
      <c r="B69" s="20">
        <v>184</v>
      </c>
      <c r="C69" s="20">
        <v>184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4" x14ac:dyDescent="0.15">
      <c r="A70" s="52" t="s">
        <v>198</v>
      </c>
      <c r="B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4" x14ac:dyDescent="0.15">
      <c r="A71" s="52" t="s">
        <v>199</v>
      </c>
      <c r="B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4" x14ac:dyDescent="0.15">
      <c r="A72" s="52" t="s">
        <v>200</v>
      </c>
      <c r="B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4" x14ac:dyDescent="0.15">
      <c r="A73" s="52" t="s">
        <v>201</v>
      </c>
      <c r="B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4" x14ac:dyDescent="0.15">
      <c r="A74" s="52" t="s">
        <v>202</v>
      </c>
      <c r="B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4" x14ac:dyDescent="0.15">
      <c r="A75" s="52" t="s">
        <v>203</v>
      </c>
      <c r="B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4" x14ac:dyDescent="0.15">
      <c r="A76" s="52" t="s">
        <v>204</v>
      </c>
      <c r="B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4" x14ac:dyDescent="0.15">
      <c r="A77" s="52" t="s">
        <v>205</v>
      </c>
      <c r="B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4" x14ac:dyDescent="0.15">
      <c r="A78" s="52" t="s">
        <v>206</v>
      </c>
      <c r="B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4" x14ac:dyDescent="0.15">
      <c r="A79" s="52" t="s">
        <v>207</v>
      </c>
      <c r="B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4" x14ac:dyDescent="0.15">
      <c r="A80" s="52" t="s">
        <v>108</v>
      </c>
      <c r="B80" s="56">
        <v>68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4" x14ac:dyDescent="0.15">
      <c r="A81" s="52" t="s">
        <v>109</v>
      </c>
      <c r="B81" s="56">
        <v>89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4" x14ac:dyDescent="0.15">
      <c r="A82" s="52" t="s">
        <v>110</v>
      </c>
      <c r="B82" s="56">
        <v>99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4" x14ac:dyDescent="0.15">
      <c r="A83" s="52" t="s">
        <v>111</v>
      </c>
      <c r="B83" s="56">
        <v>111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4" x14ac:dyDescent="0.15">
      <c r="A84" s="52" t="s">
        <v>112</v>
      </c>
      <c r="B84" s="56">
        <v>113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4" x14ac:dyDescent="0.15">
      <c r="A85" s="52" t="s">
        <v>113</v>
      </c>
      <c r="B85" s="56">
        <v>68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4" x14ac:dyDescent="0.15">
      <c r="A86" s="52" t="s">
        <v>114</v>
      </c>
      <c r="B86" s="56">
        <v>89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4" x14ac:dyDescent="0.15">
      <c r="A87" s="52" t="s">
        <v>115</v>
      </c>
      <c r="B87" s="56">
        <v>99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4" x14ac:dyDescent="0.15">
      <c r="A88" s="52" t="s">
        <v>116</v>
      </c>
      <c r="B88" s="56">
        <v>111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4" x14ac:dyDescent="0.15">
      <c r="A89" s="52" t="s">
        <v>117</v>
      </c>
      <c r="B89" s="56">
        <v>113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4" x14ac:dyDescent="0.15">
      <c r="A90" s="52" t="s">
        <v>208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4" x14ac:dyDescent="0.15">
      <c r="A91" s="52" t="s">
        <v>209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4" x14ac:dyDescent="0.15">
      <c r="A92" s="52" t="s">
        <v>210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4" x14ac:dyDescent="0.15">
      <c r="A93" s="52" t="s">
        <v>211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4" x14ac:dyDescent="0.15">
      <c r="A94" s="52" t="s">
        <v>212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4" x14ac:dyDescent="0.15">
      <c r="A95" s="52" t="s">
        <v>213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4" x14ac:dyDescent="0.15">
      <c r="A96" s="52" t="s">
        <v>214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4" x14ac:dyDescent="0.15">
      <c r="A97" s="52" t="s">
        <v>215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4" x14ac:dyDescent="0.15">
      <c r="A98" s="52" t="s">
        <v>216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4" x14ac:dyDescent="0.15">
      <c r="A99" s="52" t="s">
        <v>217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4" x14ac:dyDescent="0.15">
      <c r="A100" s="52" t="s">
        <v>218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4" x14ac:dyDescent="0.15">
      <c r="A101" s="52" t="s">
        <v>219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4" x14ac:dyDescent="0.15">
      <c r="A102" s="52" t="s">
        <v>220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4" x14ac:dyDescent="0.15">
      <c r="A103" s="52" t="s">
        <v>221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4" x14ac:dyDescent="0.15">
      <c r="A104" s="52" t="s">
        <v>222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4" x14ac:dyDescent="0.15">
      <c r="A105" s="52" t="s">
        <v>223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4" x14ac:dyDescent="0.15">
      <c r="A106" s="52" t="s">
        <v>224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4" x14ac:dyDescent="0.15">
      <c r="A107" s="52" t="s">
        <v>225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4" x14ac:dyDescent="0.15">
      <c r="A108" s="52" t="s">
        <v>226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4" x14ac:dyDescent="0.15">
      <c r="A109" s="52" t="s">
        <v>227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4" x14ac:dyDescent="0.15">
      <c r="A110" s="52" t="s">
        <v>228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4" x14ac:dyDescent="0.15">
      <c r="A111" s="52" t="s">
        <v>229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4" x14ac:dyDescent="0.15">
      <c r="A112" s="52" t="s">
        <v>230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4" x14ac:dyDescent="0.15">
      <c r="A113" s="52" t="s">
        <v>231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4" x14ac:dyDescent="0.15">
      <c r="A114" s="52" t="s">
        <v>232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4" x14ac:dyDescent="0.15">
      <c r="A115" s="52" t="s">
        <v>233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4" x14ac:dyDescent="0.15">
      <c r="A116" s="52" t="s">
        <v>234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4" x14ac:dyDescent="0.15">
      <c r="A117" s="52" t="s">
        <v>235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4" x14ac:dyDescent="0.15">
      <c r="A118" s="52" t="s">
        <v>236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4" x14ac:dyDescent="0.15">
      <c r="A119" s="52" t="s">
        <v>237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4" x14ac:dyDescent="0.15">
      <c r="A120" s="52" t="s">
        <v>238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4" x14ac:dyDescent="0.15">
      <c r="A121" s="52" t="s">
        <v>239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4" x14ac:dyDescent="0.15">
      <c r="A122" s="52" t="s">
        <v>240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4" x14ac:dyDescent="0.15">
      <c r="A123" s="52" t="s">
        <v>241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4" x14ac:dyDescent="0.15">
      <c r="A124" s="52" t="s">
        <v>242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4" x14ac:dyDescent="0.15">
      <c r="A125" s="52" t="s">
        <v>243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4" x14ac:dyDescent="0.15">
      <c r="A126" s="52" t="s">
        <v>244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4" x14ac:dyDescent="0.15">
      <c r="A127" s="52" t="s">
        <v>245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4" x14ac:dyDescent="0.15">
      <c r="A128" s="52" t="s">
        <v>246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4" x14ac:dyDescent="0.15">
      <c r="A129" s="52" t="s">
        <v>247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4" x14ac:dyDescent="0.15">
      <c r="A130" s="52" t="s">
        <v>248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4" x14ac:dyDescent="0.15">
      <c r="A131" s="52" t="s">
        <v>249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4" x14ac:dyDescent="0.15">
      <c r="A132" s="52" t="s">
        <v>250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4" x14ac:dyDescent="0.15">
      <c r="A133" s="52" t="s">
        <v>251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4" x14ac:dyDescent="0.15">
      <c r="A134" s="52" t="s">
        <v>252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4" x14ac:dyDescent="0.15">
      <c r="A135" s="52" t="s">
        <v>253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4" x14ac:dyDescent="0.15">
      <c r="A136" s="52" t="s">
        <v>254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4" x14ac:dyDescent="0.15">
      <c r="A137" s="52" t="s">
        <v>255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4" x14ac:dyDescent="0.15">
      <c r="A138" s="52" t="s">
        <v>256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4" x14ac:dyDescent="0.15">
      <c r="A139" s="52" t="s">
        <v>257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4" x14ac:dyDescent="0.15">
      <c r="A140" s="52" t="s">
        <v>258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4" x14ac:dyDescent="0.15">
      <c r="A141" s="52" t="s">
        <v>259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4" x14ac:dyDescent="0.15">
      <c r="A142" s="52" t="s">
        <v>260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4" x14ac:dyDescent="0.15">
      <c r="A143" s="52" t="s">
        <v>261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4" x14ac:dyDescent="0.15">
      <c r="A144" s="52" t="s">
        <v>262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4" x14ac:dyDescent="0.15">
      <c r="A145" s="52" t="s">
        <v>263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4" x14ac:dyDescent="0.15">
      <c r="A146" s="52" t="s">
        <v>264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3" x14ac:dyDescent="0.15">
      <c r="A147" s="52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4" x14ac:dyDescent="0.15">
      <c r="A148" s="54" t="s">
        <v>265</v>
      </c>
      <c r="B148" s="55"/>
      <c r="C148" s="55" t="s">
        <v>187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4" x14ac:dyDescent="0.15">
      <c r="A149" s="52" t="s">
        <v>266</v>
      </c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4" x14ac:dyDescent="0.15">
      <c r="A150" s="52" t="s">
        <v>267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4" x14ac:dyDescent="0.15">
      <c r="A151" s="52" t="s">
        <v>268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4" x14ac:dyDescent="0.15">
      <c r="A152" s="52" t="s">
        <v>269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28" x14ac:dyDescent="0.15">
      <c r="A153" s="52" t="s">
        <v>270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4" x14ac:dyDescent="0.15">
      <c r="A154" s="52" t="s">
        <v>271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28" x14ac:dyDescent="0.15">
      <c r="A155" s="52" t="s">
        <v>272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42" x14ac:dyDescent="0.15">
      <c r="A156" s="52" t="s">
        <v>273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28" x14ac:dyDescent="0.15">
      <c r="A157" s="52" t="s">
        <v>274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4" x14ac:dyDescent="0.15">
      <c r="A158" s="52" t="s">
        <v>275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4" x14ac:dyDescent="0.15">
      <c r="A159" s="52" t="s">
        <v>276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4" x14ac:dyDescent="0.15">
      <c r="A160" s="52" t="s">
        <v>277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4" x14ac:dyDescent="0.15">
      <c r="A161" s="52" t="s">
        <v>63</v>
      </c>
      <c r="B161" s="20"/>
      <c r="C161" s="20">
        <v>35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4" x14ac:dyDescent="0.15">
      <c r="A162" s="52" t="s">
        <v>144</v>
      </c>
      <c r="B162" s="20"/>
      <c r="C162" s="20">
        <v>2600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4" x14ac:dyDescent="0.15">
      <c r="A163" s="52" t="s">
        <v>64</v>
      </c>
      <c r="B163" s="20"/>
      <c r="C163" s="20">
        <v>250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4" x14ac:dyDescent="0.15">
      <c r="A164" s="52" t="s">
        <v>278</v>
      </c>
      <c r="B164" s="20"/>
      <c r="C164" s="20">
        <v>10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4" x14ac:dyDescent="0.15">
      <c r="A165" s="52" t="s">
        <v>279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4" x14ac:dyDescent="0.15">
      <c r="A166" s="52" t="s">
        <v>280</v>
      </c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4" x14ac:dyDescent="0.15">
      <c r="A167" s="52" t="s">
        <v>65</v>
      </c>
      <c r="B167" s="20"/>
      <c r="C167" s="20">
        <v>450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4" x14ac:dyDescent="0.15">
      <c r="A168" s="52" t="s">
        <v>66</v>
      </c>
      <c r="B168" s="20"/>
      <c r="C168" s="20">
        <v>100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4" x14ac:dyDescent="0.15">
      <c r="A169" s="52" t="s">
        <v>67</v>
      </c>
      <c r="B169" s="20"/>
      <c r="C169" s="20">
        <v>190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3" x14ac:dyDescent="0.15">
      <c r="A170" s="52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4" x14ac:dyDescent="0.15">
      <c r="A171" s="54" t="s">
        <v>281</v>
      </c>
      <c r="B171" s="55"/>
      <c r="C171" s="55" t="s">
        <v>187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4" x14ac:dyDescent="0.15">
      <c r="A172" s="52" t="s">
        <v>69</v>
      </c>
      <c r="B172" s="20">
        <v>6900</v>
      </c>
      <c r="C172" s="20">
        <v>6900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4" x14ac:dyDescent="0.15">
      <c r="A173" s="52" t="s">
        <v>70</v>
      </c>
      <c r="B173" s="20">
        <v>14500</v>
      </c>
      <c r="C173" s="20">
        <v>14500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4" x14ac:dyDescent="0.15">
      <c r="A174" s="52" t="s">
        <v>71</v>
      </c>
      <c r="B174" s="20">
        <v>3.5</v>
      </c>
      <c r="C174" s="20">
        <v>3.5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4" x14ac:dyDescent="0.15">
      <c r="A175" s="52" t="s">
        <v>72</v>
      </c>
      <c r="B175" s="20">
        <v>3.5</v>
      </c>
      <c r="C175" s="20">
        <v>3.5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4" x14ac:dyDescent="0.15">
      <c r="A176" s="52" t="s">
        <v>73</v>
      </c>
      <c r="B176" s="20">
        <v>45</v>
      </c>
      <c r="C176" s="20">
        <v>45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4" x14ac:dyDescent="0.15">
      <c r="A177" s="52" t="s">
        <v>74</v>
      </c>
      <c r="B177" s="20">
        <v>3.2</v>
      </c>
      <c r="C177" s="20">
        <v>3.2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4" x14ac:dyDescent="0.15">
      <c r="A178" s="52" t="s">
        <v>75</v>
      </c>
      <c r="B178" s="20">
        <v>63</v>
      </c>
      <c r="C178" s="20">
        <v>63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4" x14ac:dyDescent="0.15">
      <c r="A179" s="52" t="s">
        <v>76</v>
      </c>
      <c r="B179" s="20">
        <v>22</v>
      </c>
      <c r="C179" s="20">
        <v>22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4" x14ac:dyDescent="0.15">
      <c r="A180" s="52" t="s">
        <v>282</v>
      </c>
      <c r="B180" s="20">
        <v>350</v>
      </c>
      <c r="C180" s="20">
        <v>350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3" x14ac:dyDescent="0.15">
      <c r="A181" s="52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3" x14ac:dyDescent="0.15">
      <c r="A182" s="52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3" x14ac:dyDescent="0.15">
      <c r="A183" s="52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3" x14ac:dyDescent="0.15">
      <c r="A184" s="52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3" x14ac:dyDescent="0.15">
      <c r="A185" s="52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3" x14ac:dyDescent="0.15">
      <c r="A186" s="52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3" x14ac:dyDescent="0.15">
      <c r="A187" s="52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3" x14ac:dyDescent="0.15">
      <c r="A188" s="52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3" x14ac:dyDescent="0.15">
      <c r="A189" s="52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3" x14ac:dyDescent="0.15">
      <c r="A190" s="52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3" x14ac:dyDescent="0.15">
      <c r="A191" s="52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3" x14ac:dyDescent="0.15">
      <c r="A192" s="52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3" x14ac:dyDescent="0.15">
      <c r="A193" s="52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3" x14ac:dyDescent="0.15">
      <c r="A194" s="52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3" x14ac:dyDescent="0.15">
      <c r="A195" s="52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3" x14ac:dyDescent="0.15">
      <c r="A196" s="52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3" x14ac:dyDescent="0.15">
      <c r="A197" s="52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3" x14ac:dyDescent="0.15">
      <c r="A198" s="52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3" x14ac:dyDescent="0.15">
      <c r="A199" s="52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3" x14ac:dyDescent="0.15">
      <c r="A200" s="52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3" x14ac:dyDescent="0.15">
      <c r="A201" s="52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3" x14ac:dyDescent="0.15">
      <c r="A202" s="52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3" x14ac:dyDescent="0.15">
      <c r="A203" s="52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3" x14ac:dyDescent="0.15">
      <c r="A204" s="52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3" x14ac:dyDescent="0.15">
      <c r="A205" s="52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3" x14ac:dyDescent="0.15">
      <c r="A206" s="5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3" x14ac:dyDescent="0.15">
      <c r="A207" s="52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3" x14ac:dyDescent="0.15">
      <c r="A208" s="52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3" x14ac:dyDescent="0.15">
      <c r="A209" s="52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3" x14ac:dyDescent="0.15">
      <c r="A210" s="52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3" x14ac:dyDescent="0.15">
      <c r="A211" s="52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3" x14ac:dyDescent="0.15">
      <c r="A212" s="52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3" x14ac:dyDescent="0.15">
      <c r="A213" s="52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3" x14ac:dyDescent="0.15">
      <c r="A214" s="52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3" x14ac:dyDescent="0.15">
      <c r="A215" s="52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3" x14ac:dyDescent="0.15">
      <c r="A216" s="52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3" x14ac:dyDescent="0.15">
      <c r="A217" s="52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3" x14ac:dyDescent="0.15">
      <c r="A218" s="52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3" x14ac:dyDescent="0.15">
      <c r="A219" s="52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3" x14ac:dyDescent="0.15">
      <c r="A220" s="52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3" x14ac:dyDescent="0.15">
      <c r="A221" s="52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3" x14ac:dyDescent="0.15">
      <c r="A222" s="52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3" x14ac:dyDescent="0.15">
      <c r="A223" s="52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3" x14ac:dyDescent="0.15">
      <c r="A224" s="52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3" x14ac:dyDescent="0.15">
      <c r="A225" s="52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3" x14ac:dyDescent="0.15">
      <c r="A226" s="52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3" x14ac:dyDescent="0.15">
      <c r="A227" s="52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3" x14ac:dyDescent="0.15">
      <c r="A228" s="52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3" x14ac:dyDescent="0.15">
      <c r="A229" s="52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3" x14ac:dyDescent="0.15">
      <c r="A230" s="52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3" x14ac:dyDescent="0.15">
      <c r="A231" s="52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3" x14ac:dyDescent="0.15">
      <c r="A232" s="52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3" x14ac:dyDescent="0.15">
      <c r="A233" s="52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3" x14ac:dyDescent="0.15">
      <c r="A234" s="52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3" x14ac:dyDescent="0.15">
      <c r="A235" s="52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3" x14ac:dyDescent="0.15">
      <c r="A236" s="52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3" x14ac:dyDescent="0.15">
      <c r="A237" s="52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3" x14ac:dyDescent="0.15">
      <c r="A238" s="52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3" x14ac:dyDescent="0.15">
      <c r="A239" s="52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3" x14ac:dyDescent="0.15">
      <c r="A240" s="52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3" x14ac:dyDescent="0.15">
      <c r="A241" s="52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3" x14ac:dyDescent="0.15">
      <c r="A242" s="52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3" x14ac:dyDescent="0.15">
      <c r="A243" s="52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3" x14ac:dyDescent="0.15">
      <c r="A244" s="52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3" x14ac:dyDescent="0.15">
      <c r="A245" s="52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3" x14ac:dyDescent="0.15">
      <c r="A246" s="52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3" x14ac:dyDescent="0.15">
      <c r="A247" s="52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3" x14ac:dyDescent="0.15">
      <c r="A248" s="52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3" x14ac:dyDescent="0.15">
      <c r="A249" s="52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3" x14ac:dyDescent="0.15">
      <c r="A250" s="52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3" x14ac:dyDescent="0.15">
      <c r="A251" s="52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3" x14ac:dyDescent="0.15">
      <c r="A252" s="52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3" x14ac:dyDescent="0.15">
      <c r="A253" s="52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3" x14ac:dyDescent="0.15">
      <c r="A254" s="52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3" x14ac:dyDescent="0.15">
      <c r="A255" s="52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3" x14ac:dyDescent="0.15">
      <c r="A256" s="52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3" x14ac:dyDescent="0.15">
      <c r="A257" s="52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3" x14ac:dyDescent="0.15">
      <c r="A258" s="52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3" x14ac:dyDescent="0.15">
      <c r="A259" s="52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3" x14ac:dyDescent="0.15">
      <c r="A260" s="52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3" x14ac:dyDescent="0.15">
      <c r="A261" s="52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3" x14ac:dyDescent="0.15">
      <c r="A262" s="52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3" x14ac:dyDescent="0.15">
      <c r="A263" s="52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3" x14ac:dyDescent="0.15">
      <c r="A264" s="52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3" x14ac:dyDescent="0.15">
      <c r="A265" s="52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3" x14ac:dyDescent="0.15">
      <c r="A266" s="52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3" x14ac:dyDescent="0.15">
      <c r="A267" s="52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3" x14ac:dyDescent="0.15">
      <c r="A268" s="52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3" x14ac:dyDescent="0.15">
      <c r="A269" s="52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3" x14ac:dyDescent="0.15">
      <c r="A270" s="52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3" x14ac:dyDescent="0.15">
      <c r="A271" s="52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3" x14ac:dyDescent="0.15">
      <c r="A272" s="52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3" x14ac:dyDescent="0.15">
      <c r="A273" s="52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3" x14ac:dyDescent="0.15">
      <c r="A274" s="52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3" x14ac:dyDescent="0.15">
      <c r="A275" s="52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3" x14ac:dyDescent="0.15">
      <c r="A276" s="52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3" x14ac:dyDescent="0.15">
      <c r="A277" s="52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3" x14ac:dyDescent="0.15">
      <c r="A278" s="52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3" x14ac:dyDescent="0.15">
      <c r="A279" s="52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3" x14ac:dyDescent="0.15">
      <c r="A280" s="52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3" x14ac:dyDescent="0.15">
      <c r="A281" s="52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3" x14ac:dyDescent="0.15">
      <c r="A282" s="52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3" x14ac:dyDescent="0.15">
      <c r="A283" s="52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3" x14ac:dyDescent="0.15">
      <c r="A284" s="52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3" x14ac:dyDescent="0.15">
      <c r="A285" s="52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3" x14ac:dyDescent="0.15">
      <c r="A286" s="52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3" x14ac:dyDescent="0.15">
      <c r="A287" s="52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3" x14ac:dyDescent="0.15">
      <c r="A288" s="52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3" x14ac:dyDescent="0.15">
      <c r="A289" s="52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3" x14ac:dyDescent="0.15">
      <c r="A290" s="52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3" x14ac:dyDescent="0.15">
      <c r="A291" s="52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3" x14ac:dyDescent="0.15">
      <c r="A292" s="52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3" x14ac:dyDescent="0.15">
      <c r="A293" s="52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3" x14ac:dyDescent="0.15">
      <c r="A294" s="52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3" x14ac:dyDescent="0.15">
      <c r="A295" s="52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3" x14ac:dyDescent="0.15">
      <c r="A296" s="52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3" x14ac:dyDescent="0.15">
      <c r="A297" s="52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3" x14ac:dyDescent="0.15">
      <c r="A298" s="52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3" x14ac:dyDescent="0.15">
      <c r="A299" s="52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3" x14ac:dyDescent="0.15">
      <c r="A300" s="52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3" x14ac:dyDescent="0.15">
      <c r="A301" s="52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3" x14ac:dyDescent="0.15">
      <c r="A302" s="52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3" x14ac:dyDescent="0.15">
      <c r="A303" s="52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3" x14ac:dyDescent="0.15">
      <c r="A304" s="52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3" x14ac:dyDescent="0.15">
      <c r="A305" s="52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3" x14ac:dyDescent="0.15">
      <c r="A306" s="52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3" x14ac:dyDescent="0.15">
      <c r="A307" s="52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3" x14ac:dyDescent="0.15">
      <c r="A308" s="52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3" x14ac:dyDescent="0.15">
      <c r="A309" s="52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3" x14ac:dyDescent="0.15">
      <c r="A310" s="52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3" x14ac:dyDescent="0.15">
      <c r="A311" s="52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3" x14ac:dyDescent="0.15">
      <c r="A312" s="52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3" x14ac:dyDescent="0.15">
      <c r="A313" s="52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3" x14ac:dyDescent="0.15">
      <c r="A314" s="52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3" x14ac:dyDescent="0.15">
      <c r="A315" s="52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3" x14ac:dyDescent="0.15">
      <c r="A316" s="52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3" x14ac:dyDescent="0.15">
      <c r="A317" s="52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3" x14ac:dyDescent="0.15">
      <c r="A318" s="52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3" x14ac:dyDescent="0.15">
      <c r="A319" s="52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3" x14ac:dyDescent="0.15">
      <c r="A320" s="52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3" x14ac:dyDescent="0.15">
      <c r="A321" s="52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3" x14ac:dyDescent="0.15">
      <c r="A322" s="52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3" x14ac:dyDescent="0.15">
      <c r="A323" s="52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3" x14ac:dyDescent="0.15">
      <c r="A324" s="52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3" x14ac:dyDescent="0.15">
      <c r="A325" s="52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3" x14ac:dyDescent="0.15">
      <c r="A326" s="52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3" x14ac:dyDescent="0.15">
      <c r="A327" s="52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3" x14ac:dyDescent="0.15">
      <c r="A328" s="52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3" x14ac:dyDescent="0.15">
      <c r="A329" s="52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3" x14ac:dyDescent="0.15">
      <c r="A330" s="52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3" x14ac:dyDescent="0.15">
      <c r="A331" s="52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3" x14ac:dyDescent="0.15">
      <c r="A332" s="52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3" x14ac:dyDescent="0.15">
      <c r="A333" s="52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3" x14ac:dyDescent="0.15">
      <c r="A334" s="52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3" x14ac:dyDescent="0.15">
      <c r="A335" s="52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3" x14ac:dyDescent="0.15">
      <c r="A336" s="52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3" x14ac:dyDescent="0.15">
      <c r="A337" s="52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3" x14ac:dyDescent="0.15">
      <c r="A338" s="52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3" x14ac:dyDescent="0.15">
      <c r="A339" s="52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3" x14ac:dyDescent="0.15">
      <c r="A340" s="52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3" x14ac:dyDescent="0.15">
      <c r="A341" s="52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3" x14ac:dyDescent="0.15">
      <c r="A342" s="52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3" x14ac:dyDescent="0.15">
      <c r="A343" s="52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3" x14ac:dyDescent="0.15">
      <c r="A344" s="52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3" x14ac:dyDescent="0.15">
      <c r="A345" s="52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3" x14ac:dyDescent="0.15">
      <c r="A346" s="52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3" x14ac:dyDescent="0.15">
      <c r="A347" s="52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3" x14ac:dyDescent="0.15">
      <c r="A348" s="52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3" x14ac:dyDescent="0.15">
      <c r="A349" s="52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3" x14ac:dyDescent="0.15">
      <c r="A350" s="52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3" x14ac:dyDescent="0.15">
      <c r="A351" s="52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3" x14ac:dyDescent="0.15">
      <c r="A352" s="52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3" x14ac:dyDescent="0.15">
      <c r="A353" s="52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3" x14ac:dyDescent="0.15">
      <c r="A354" s="52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3" x14ac:dyDescent="0.15">
      <c r="A355" s="52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3" x14ac:dyDescent="0.15">
      <c r="A356" s="52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3" x14ac:dyDescent="0.15">
      <c r="A357" s="52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3" x14ac:dyDescent="0.15">
      <c r="A358" s="52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3" x14ac:dyDescent="0.15">
      <c r="A359" s="52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3" x14ac:dyDescent="0.15">
      <c r="A360" s="52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3" x14ac:dyDescent="0.15">
      <c r="A361" s="52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3" x14ac:dyDescent="0.15">
      <c r="A362" s="52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3" x14ac:dyDescent="0.15">
      <c r="A363" s="52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3" x14ac:dyDescent="0.15">
      <c r="A364" s="52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3" x14ac:dyDescent="0.15">
      <c r="A365" s="52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3" x14ac:dyDescent="0.15">
      <c r="A366" s="52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3" x14ac:dyDescent="0.15">
      <c r="A367" s="52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3" x14ac:dyDescent="0.15">
      <c r="A368" s="52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3" x14ac:dyDescent="0.15">
      <c r="A369" s="52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3" x14ac:dyDescent="0.15">
      <c r="A370" s="52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3" x14ac:dyDescent="0.15">
      <c r="A371" s="52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3" x14ac:dyDescent="0.15">
      <c r="A372" s="52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3" x14ac:dyDescent="0.15">
      <c r="A373" s="52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3" x14ac:dyDescent="0.15">
      <c r="A374" s="52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3" x14ac:dyDescent="0.15">
      <c r="A375" s="52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3" x14ac:dyDescent="0.15">
      <c r="A376" s="52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3" x14ac:dyDescent="0.15">
      <c r="A377" s="52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3" x14ac:dyDescent="0.15">
      <c r="A378" s="52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3" x14ac:dyDescent="0.15">
      <c r="A379" s="52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3" x14ac:dyDescent="0.15">
      <c r="A380" s="52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3" x14ac:dyDescent="0.15">
      <c r="A381" s="52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3" x14ac:dyDescent="0.15">
      <c r="A382" s="52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3" x14ac:dyDescent="0.15">
      <c r="A383" s="52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3" x14ac:dyDescent="0.15">
      <c r="A384" s="52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3" x14ac:dyDescent="0.15">
      <c r="A385" s="52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3" x14ac:dyDescent="0.15">
      <c r="A386" s="52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3" x14ac:dyDescent="0.15">
      <c r="A387" s="52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3" x14ac:dyDescent="0.15">
      <c r="A388" s="52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3" x14ac:dyDescent="0.15">
      <c r="A389" s="52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3" x14ac:dyDescent="0.15">
      <c r="A390" s="52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3" x14ac:dyDescent="0.15">
      <c r="A391" s="52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3" x14ac:dyDescent="0.15">
      <c r="A392" s="52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3" x14ac:dyDescent="0.15">
      <c r="A393" s="52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3" x14ac:dyDescent="0.15">
      <c r="A394" s="52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3" x14ac:dyDescent="0.15">
      <c r="A395" s="52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3" x14ac:dyDescent="0.15">
      <c r="A396" s="52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3" x14ac:dyDescent="0.15">
      <c r="A397" s="52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3" x14ac:dyDescent="0.15">
      <c r="A398" s="52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3" x14ac:dyDescent="0.15">
      <c r="A399" s="52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3" x14ac:dyDescent="0.15">
      <c r="A400" s="52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3" x14ac:dyDescent="0.15">
      <c r="A401" s="52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3" x14ac:dyDescent="0.15">
      <c r="A402" s="52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3" x14ac:dyDescent="0.15">
      <c r="A403" s="52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3" x14ac:dyDescent="0.15">
      <c r="A404" s="52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3" x14ac:dyDescent="0.15">
      <c r="A405" s="52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3" x14ac:dyDescent="0.15">
      <c r="A406" s="52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3" x14ac:dyDescent="0.15">
      <c r="A407" s="52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3" x14ac:dyDescent="0.15">
      <c r="A408" s="52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3" x14ac:dyDescent="0.15">
      <c r="A409" s="52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3" x14ac:dyDescent="0.15">
      <c r="A410" s="52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3" x14ac:dyDescent="0.15">
      <c r="A411" s="52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3" x14ac:dyDescent="0.15">
      <c r="A412" s="52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3" x14ac:dyDescent="0.15">
      <c r="A413" s="52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3" x14ac:dyDescent="0.15">
      <c r="A414" s="52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3" x14ac:dyDescent="0.15">
      <c r="A415" s="52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3" x14ac:dyDescent="0.15">
      <c r="A416" s="52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3" x14ac:dyDescent="0.15">
      <c r="A417" s="52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3" x14ac:dyDescent="0.15">
      <c r="A418" s="52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3" x14ac:dyDescent="0.15">
      <c r="A419" s="52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3" x14ac:dyDescent="0.15">
      <c r="A420" s="52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3" x14ac:dyDescent="0.15">
      <c r="A421" s="52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3" x14ac:dyDescent="0.15">
      <c r="A422" s="52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3" x14ac:dyDescent="0.15">
      <c r="A423" s="52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3" x14ac:dyDescent="0.15">
      <c r="A424" s="52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3" x14ac:dyDescent="0.15">
      <c r="A425" s="52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3" x14ac:dyDescent="0.15">
      <c r="A426" s="52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3" x14ac:dyDescent="0.15">
      <c r="A427" s="52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3" x14ac:dyDescent="0.15">
      <c r="A428" s="52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3" x14ac:dyDescent="0.15">
      <c r="A429" s="52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3" x14ac:dyDescent="0.15">
      <c r="A430" s="52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3" x14ac:dyDescent="0.15">
      <c r="A431" s="52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3" x14ac:dyDescent="0.15">
      <c r="A432" s="52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3" x14ac:dyDescent="0.15">
      <c r="A433" s="52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3" x14ac:dyDescent="0.15">
      <c r="A434" s="52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3" x14ac:dyDescent="0.15">
      <c r="A435" s="52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3" x14ac:dyDescent="0.15">
      <c r="A436" s="52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3" x14ac:dyDescent="0.15">
      <c r="A437" s="52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3" x14ac:dyDescent="0.15">
      <c r="A438" s="52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3" x14ac:dyDescent="0.15">
      <c r="A439" s="52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3" x14ac:dyDescent="0.15">
      <c r="A440" s="52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3" x14ac:dyDescent="0.15">
      <c r="A441" s="52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3" x14ac:dyDescent="0.15">
      <c r="A442" s="52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3" x14ac:dyDescent="0.15">
      <c r="A443" s="52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3" x14ac:dyDescent="0.15">
      <c r="A444" s="52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3" x14ac:dyDescent="0.15">
      <c r="A445" s="52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3" x14ac:dyDescent="0.15">
      <c r="A446" s="52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3" x14ac:dyDescent="0.15">
      <c r="A447" s="52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3" x14ac:dyDescent="0.15">
      <c r="A448" s="52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3" x14ac:dyDescent="0.15">
      <c r="A449" s="52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3" x14ac:dyDescent="0.15">
      <c r="A450" s="52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3" x14ac:dyDescent="0.15">
      <c r="A451" s="52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3" x14ac:dyDescent="0.15">
      <c r="A452" s="52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3" x14ac:dyDescent="0.15">
      <c r="A453" s="52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3" x14ac:dyDescent="0.15">
      <c r="A454" s="52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3" x14ac:dyDescent="0.15">
      <c r="A455" s="52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3" x14ac:dyDescent="0.15">
      <c r="A456" s="52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3" x14ac:dyDescent="0.15">
      <c r="A457" s="52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3" x14ac:dyDescent="0.15">
      <c r="A458" s="52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3" x14ac:dyDescent="0.15">
      <c r="A459" s="52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3" x14ac:dyDescent="0.15">
      <c r="A460" s="52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3" x14ac:dyDescent="0.15">
      <c r="A461" s="52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3" x14ac:dyDescent="0.15">
      <c r="A462" s="52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3" x14ac:dyDescent="0.15">
      <c r="A463" s="52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3" x14ac:dyDescent="0.15">
      <c r="A464" s="52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3" x14ac:dyDescent="0.15">
      <c r="A465" s="52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3" x14ac:dyDescent="0.15">
      <c r="A466" s="52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3" x14ac:dyDescent="0.15">
      <c r="A467" s="52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3" x14ac:dyDescent="0.15">
      <c r="A468" s="52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3" x14ac:dyDescent="0.15">
      <c r="A469" s="52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3" x14ac:dyDescent="0.15">
      <c r="A470" s="52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3" x14ac:dyDescent="0.15">
      <c r="A471" s="52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3" x14ac:dyDescent="0.15">
      <c r="A472" s="52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3" x14ac:dyDescent="0.15">
      <c r="A473" s="52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3" x14ac:dyDescent="0.15">
      <c r="A474" s="52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3" x14ac:dyDescent="0.15">
      <c r="A475" s="52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3" x14ac:dyDescent="0.15">
      <c r="A476" s="52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3" x14ac:dyDescent="0.15">
      <c r="A477" s="52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3" x14ac:dyDescent="0.15">
      <c r="A478" s="52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3" x14ac:dyDescent="0.15">
      <c r="A479" s="52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3" x14ac:dyDescent="0.15">
      <c r="A480" s="52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3" x14ac:dyDescent="0.15">
      <c r="A481" s="52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3" x14ac:dyDescent="0.15">
      <c r="A482" s="52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3" x14ac:dyDescent="0.15">
      <c r="A483" s="52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3" x14ac:dyDescent="0.15">
      <c r="A484" s="52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3" x14ac:dyDescent="0.15">
      <c r="A485" s="52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3" x14ac:dyDescent="0.15">
      <c r="A486" s="52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3" x14ac:dyDescent="0.15">
      <c r="A487" s="52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3" x14ac:dyDescent="0.15">
      <c r="A488" s="52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3" x14ac:dyDescent="0.15">
      <c r="A489" s="52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3" x14ac:dyDescent="0.15">
      <c r="A490" s="52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3" x14ac:dyDescent="0.15">
      <c r="A491" s="52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3" x14ac:dyDescent="0.15">
      <c r="A492" s="52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3" x14ac:dyDescent="0.15">
      <c r="A493" s="52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3" x14ac:dyDescent="0.15">
      <c r="A494" s="52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3" x14ac:dyDescent="0.15">
      <c r="A495" s="52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3" x14ac:dyDescent="0.15">
      <c r="A496" s="52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3" x14ac:dyDescent="0.15">
      <c r="A497" s="52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3" x14ac:dyDescent="0.15">
      <c r="A498" s="52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3" x14ac:dyDescent="0.15">
      <c r="A499" s="52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3" x14ac:dyDescent="0.15">
      <c r="A500" s="52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3" x14ac:dyDescent="0.15">
      <c r="A501" s="52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3" x14ac:dyDescent="0.15">
      <c r="A502" s="52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3" x14ac:dyDescent="0.15">
      <c r="A503" s="52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3" x14ac:dyDescent="0.15">
      <c r="A504" s="52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3" x14ac:dyDescent="0.15">
      <c r="A505" s="52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3" x14ac:dyDescent="0.15">
      <c r="A506" s="52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3" x14ac:dyDescent="0.15">
      <c r="A507" s="52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3" x14ac:dyDescent="0.15">
      <c r="A508" s="52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3" x14ac:dyDescent="0.15">
      <c r="A509" s="52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3" x14ac:dyDescent="0.15">
      <c r="A510" s="52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3" x14ac:dyDescent="0.15">
      <c r="A511" s="52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3" x14ac:dyDescent="0.15">
      <c r="A512" s="52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3" x14ac:dyDescent="0.15">
      <c r="A513" s="52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3" x14ac:dyDescent="0.15">
      <c r="A514" s="52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3" x14ac:dyDescent="0.15">
      <c r="A515" s="52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3" x14ac:dyDescent="0.15">
      <c r="A516" s="52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3" x14ac:dyDescent="0.15">
      <c r="A517" s="52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3" x14ac:dyDescent="0.15">
      <c r="A518" s="52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3" x14ac:dyDescent="0.15">
      <c r="A519" s="52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3" x14ac:dyDescent="0.15">
      <c r="A520" s="52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3" x14ac:dyDescent="0.15">
      <c r="A521" s="52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3" x14ac:dyDescent="0.15">
      <c r="A522" s="52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3" x14ac:dyDescent="0.15">
      <c r="A523" s="52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3" x14ac:dyDescent="0.15">
      <c r="A524" s="52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3" x14ac:dyDescent="0.15">
      <c r="A525" s="52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3" x14ac:dyDescent="0.15">
      <c r="A526" s="52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3" x14ac:dyDescent="0.15">
      <c r="A527" s="52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3" x14ac:dyDescent="0.15">
      <c r="A528" s="52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3" x14ac:dyDescent="0.15">
      <c r="A529" s="52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3" x14ac:dyDescent="0.15">
      <c r="A530" s="52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3" x14ac:dyDescent="0.15">
      <c r="A531" s="52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3" x14ac:dyDescent="0.15">
      <c r="A532" s="52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3" x14ac:dyDescent="0.15">
      <c r="A533" s="52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3" x14ac:dyDescent="0.15">
      <c r="A534" s="52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3" x14ac:dyDescent="0.15">
      <c r="A535" s="52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3" x14ac:dyDescent="0.15">
      <c r="A536" s="52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3" x14ac:dyDescent="0.15">
      <c r="A537" s="52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3" x14ac:dyDescent="0.15">
      <c r="A538" s="52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3" x14ac:dyDescent="0.15">
      <c r="A539" s="52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3" x14ac:dyDescent="0.15">
      <c r="A540" s="52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3" x14ac:dyDescent="0.15">
      <c r="A541" s="52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3" x14ac:dyDescent="0.15">
      <c r="A542" s="52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3" x14ac:dyDescent="0.15">
      <c r="A543" s="52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3" x14ac:dyDescent="0.15">
      <c r="A544" s="52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3" x14ac:dyDescent="0.15">
      <c r="A545" s="52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3" x14ac:dyDescent="0.15">
      <c r="A546" s="52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3" x14ac:dyDescent="0.15">
      <c r="A547" s="52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3" x14ac:dyDescent="0.15">
      <c r="A548" s="52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3" x14ac:dyDescent="0.15">
      <c r="A549" s="52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3" x14ac:dyDescent="0.15">
      <c r="A550" s="52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3" x14ac:dyDescent="0.15">
      <c r="A551" s="52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3" x14ac:dyDescent="0.15">
      <c r="A552" s="52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3" x14ac:dyDescent="0.15">
      <c r="A553" s="52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3" x14ac:dyDescent="0.15">
      <c r="A554" s="52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3" x14ac:dyDescent="0.15">
      <c r="A555" s="52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3" x14ac:dyDescent="0.15">
      <c r="A556" s="52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3" x14ac:dyDescent="0.15">
      <c r="A557" s="52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3" x14ac:dyDescent="0.15">
      <c r="A558" s="52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3" x14ac:dyDescent="0.15">
      <c r="A559" s="52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3" x14ac:dyDescent="0.15">
      <c r="A560" s="52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3" x14ac:dyDescent="0.15">
      <c r="A561" s="52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3" x14ac:dyDescent="0.15">
      <c r="A562" s="52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3" x14ac:dyDescent="0.15">
      <c r="A563" s="52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3" x14ac:dyDescent="0.15">
      <c r="A564" s="52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3" x14ac:dyDescent="0.15">
      <c r="A565" s="52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3" x14ac:dyDescent="0.15">
      <c r="A566" s="52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3" x14ac:dyDescent="0.15">
      <c r="A567" s="52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3" x14ac:dyDescent="0.15">
      <c r="A568" s="52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3" x14ac:dyDescent="0.15">
      <c r="A569" s="52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3" x14ac:dyDescent="0.15">
      <c r="A570" s="52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3" x14ac:dyDescent="0.15">
      <c r="A571" s="52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3" x14ac:dyDescent="0.15">
      <c r="A572" s="52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3" x14ac:dyDescent="0.15">
      <c r="A573" s="52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3" x14ac:dyDescent="0.15">
      <c r="A574" s="52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3" x14ac:dyDescent="0.15">
      <c r="A575" s="52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3" x14ac:dyDescent="0.15">
      <c r="A576" s="52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3" x14ac:dyDescent="0.15">
      <c r="A577" s="52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3" x14ac:dyDescent="0.15">
      <c r="A578" s="52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3" x14ac:dyDescent="0.15">
      <c r="A579" s="52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3" x14ac:dyDescent="0.15">
      <c r="A580" s="52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3" x14ac:dyDescent="0.15">
      <c r="A581" s="52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3" x14ac:dyDescent="0.15">
      <c r="A582" s="52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3" x14ac:dyDescent="0.15">
      <c r="A583" s="52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3" x14ac:dyDescent="0.15">
      <c r="A584" s="52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3" x14ac:dyDescent="0.15">
      <c r="A585" s="52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3" x14ac:dyDescent="0.15">
      <c r="A586" s="52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3" x14ac:dyDescent="0.15">
      <c r="A587" s="52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3" x14ac:dyDescent="0.15">
      <c r="A588" s="52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3" x14ac:dyDescent="0.15">
      <c r="A589" s="52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3" x14ac:dyDescent="0.15">
      <c r="A590" s="52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3" x14ac:dyDescent="0.15">
      <c r="A591" s="52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3" x14ac:dyDescent="0.15">
      <c r="A592" s="52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3" x14ac:dyDescent="0.15">
      <c r="A593" s="52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3" x14ac:dyDescent="0.15">
      <c r="A594" s="52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3" x14ac:dyDescent="0.15">
      <c r="A595" s="52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3" x14ac:dyDescent="0.15">
      <c r="A596" s="52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3" x14ac:dyDescent="0.15">
      <c r="A597" s="52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3" x14ac:dyDescent="0.15">
      <c r="A598" s="52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3" x14ac:dyDescent="0.15">
      <c r="A599" s="52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3" x14ac:dyDescent="0.15">
      <c r="A600" s="52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3" x14ac:dyDescent="0.15">
      <c r="A601" s="52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3" x14ac:dyDescent="0.15">
      <c r="A602" s="52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3" x14ac:dyDescent="0.15">
      <c r="A603" s="52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3" x14ac:dyDescent="0.15">
      <c r="A604" s="52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3" x14ac:dyDescent="0.15">
      <c r="A605" s="52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3" x14ac:dyDescent="0.15">
      <c r="A606" s="52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3" x14ac:dyDescent="0.15">
      <c r="A607" s="52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3" x14ac:dyDescent="0.15">
      <c r="A608" s="52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3" x14ac:dyDescent="0.15">
      <c r="A609" s="52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3" x14ac:dyDescent="0.15">
      <c r="A610" s="52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3" x14ac:dyDescent="0.15">
      <c r="A611" s="52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3" x14ac:dyDescent="0.15">
      <c r="A612" s="52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3" x14ac:dyDescent="0.15">
      <c r="A613" s="52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3" x14ac:dyDescent="0.15">
      <c r="A614" s="52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3" x14ac:dyDescent="0.15">
      <c r="A615" s="52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3" x14ac:dyDescent="0.15">
      <c r="A616" s="52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3" x14ac:dyDescent="0.15">
      <c r="A617" s="52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3" x14ac:dyDescent="0.15">
      <c r="A618" s="52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3" x14ac:dyDescent="0.15">
      <c r="A619" s="52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3" x14ac:dyDescent="0.15">
      <c r="A620" s="52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3" x14ac:dyDescent="0.15">
      <c r="A621" s="52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3" x14ac:dyDescent="0.15">
      <c r="A622" s="52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3" x14ac:dyDescent="0.15">
      <c r="A623" s="52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3" x14ac:dyDescent="0.15">
      <c r="A624" s="52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3" x14ac:dyDescent="0.15">
      <c r="A625" s="52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3" x14ac:dyDescent="0.15">
      <c r="A626" s="52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3" x14ac:dyDescent="0.15">
      <c r="A627" s="52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3" x14ac:dyDescent="0.15">
      <c r="A628" s="52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3" x14ac:dyDescent="0.15">
      <c r="A629" s="52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3" x14ac:dyDescent="0.15">
      <c r="A630" s="52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3" x14ac:dyDescent="0.15">
      <c r="A631" s="52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3" x14ac:dyDescent="0.15">
      <c r="A632" s="52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3" x14ac:dyDescent="0.15">
      <c r="A633" s="52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3" x14ac:dyDescent="0.15">
      <c r="A634" s="52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3" x14ac:dyDescent="0.15">
      <c r="A635" s="52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3" x14ac:dyDescent="0.15">
      <c r="A636" s="52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3" x14ac:dyDescent="0.15">
      <c r="A637" s="52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3" x14ac:dyDescent="0.15">
      <c r="A638" s="52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3" x14ac:dyDescent="0.15">
      <c r="A639" s="52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3" x14ac:dyDescent="0.15">
      <c r="A640" s="52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3" x14ac:dyDescent="0.15">
      <c r="A641" s="52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3" x14ac:dyDescent="0.15">
      <c r="A642" s="52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3" x14ac:dyDescent="0.15">
      <c r="A643" s="52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3" x14ac:dyDescent="0.15">
      <c r="A644" s="52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3" x14ac:dyDescent="0.15">
      <c r="A645" s="52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3" x14ac:dyDescent="0.15">
      <c r="A646" s="52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3" x14ac:dyDescent="0.15">
      <c r="A647" s="52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3" x14ac:dyDescent="0.15">
      <c r="A648" s="52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3" x14ac:dyDescent="0.15">
      <c r="A649" s="52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3" x14ac:dyDescent="0.15">
      <c r="A650" s="52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3" x14ac:dyDescent="0.15">
      <c r="A651" s="52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3" x14ac:dyDescent="0.15">
      <c r="A652" s="52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3" x14ac:dyDescent="0.15">
      <c r="A653" s="52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3" x14ac:dyDescent="0.15">
      <c r="A654" s="52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3" x14ac:dyDescent="0.15">
      <c r="A655" s="52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3" x14ac:dyDescent="0.15">
      <c r="A656" s="52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3" x14ac:dyDescent="0.15">
      <c r="A657" s="52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3" x14ac:dyDescent="0.15">
      <c r="A658" s="52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3" x14ac:dyDescent="0.15">
      <c r="A659" s="52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3" x14ac:dyDescent="0.15">
      <c r="A660" s="52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3" x14ac:dyDescent="0.15">
      <c r="A661" s="52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3" x14ac:dyDescent="0.15">
      <c r="A662" s="52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3" x14ac:dyDescent="0.15">
      <c r="A663" s="52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3" x14ac:dyDescent="0.15">
      <c r="A664" s="52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3" x14ac:dyDescent="0.15">
      <c r="A665" s="52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3" x14ac:dyDescent="0.15">
      <c r="A666" s="52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3" x14ac:dyDescent="0.15">
      <c r="A667" s="52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3" x14ac:dyDescent="0.15">
      <c r="A668" s="52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3" x14ac:dyDescent="0.15">
      <c r="A669" s="52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3" x14ac:dyDescent="0.15">
      <c r="A670" s="52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3" x14ac:dyDescent="0.15">
      <c r="A671" s="52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3" x14ac:dyDescent="0.15">
      <c r="A672" s="52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3" x14ac:dyDescent="0.15">
      <c r="A673" s="52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3" x14ac:dyDescent="0.15">
      <c r="A674" s="52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3" x14ac:dyDescent="0.15">
      <c r="A675" s="52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3" x14ac:dyDescent="0.15">
      <c r="A676" s="52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3" x14ac:dyDescent="0.15">
      <c r="A677" s="52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3" x14ac:dyDescent="0.15">
      <c r="A678" s="52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3" x14ac:dyDescent="0.15">
      <c r="A679" s="52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3" x14ac:dyDescent="0.15">
      <c r="A680" s="52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3" x14ac:dyDescent="0.15">
      <c r="A681" s="52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3" x14ac:dyDescent="0.15">
      <c r="A682" s="52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3" x14ac:dyDescent="0.15">
      <c r="A683" s="52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3" x14ac:dyDescent="0.15">
      <c r="A684" s="52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3" x14ac:dyDescent="0.15">
      <c r="A685" s="52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3" x14ac:dyDescent="0.15">
      <c r="A686" s="52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3" x14ac:dyDescent="0.15">
      <c r="A687" s="52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3" x14ac:dyDescent="0.15">
      <c r="A688" s="52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3" x14ac:dyDescent="0.15">
      <c r="A689" s="52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3" x14ac:dyDescent="0.15">
      <c r="A690" s="52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3" x14ac:dyDescent="0.15">
      <c r="A691" s="52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3" x14ac:dyDescent="0.15">
      <c r="A692" s="52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3" x14ac:dyDescent="0.15">
      <c r="A693" s="52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3" x14ac:dyDescent="0.15">
      <c r="A694" s="52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3" x14ac:dyDescent="0.15">
      <c r="A695" s="52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3" x14ac:dyDescent="0.15">
      <c r="A696" s="52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3" x14ac:dyDescent="0.15">
      <c r="A697" s="52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3" x14ac:dyDescent="0.15">
      <c r="A698" s="52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3" x14ac:dyDescent="0.15">
      <c r="A699" s="52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3" x14ac:dyDescent="0.15">
      <c r="A700" s="52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3" x14ac:dyDescent="0.15">
      <c r="A701" s="52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3" x14ac:dyDescent="0.15">
      <c r="A702" s="52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3" x14ac:dyDescent="0.15">
      <c r="A703" s="52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3" x14ac:dyDescent="0.15">
      <c r="A704" s="52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3" x14ac:dyDescent="0.15">
      <c r="A705" s="52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3" x14ac:dyDescent="0.15">
      <c r="A706" s="52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3" x14ac:dyDescent="0.15">
      <c r="A707" s="52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3" x14ac:dyDescent="0.15">
      <c r="A708" s="52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3" x14ac:dyDescent="0.15">
      <c r="A709" s="52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3" x14ac:dyDescent="0.15">
      <c r="A710" s="52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3" x14ac:dyDescent="0.15">
      <c r="A711" s="52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3" x14ac:dyDescent="0.15">
      <c r="A712" s="52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3" x14ac:dyDescent="0.15">
      <c r="A713" s="52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3" x14ac:dyDescent="0.15">
      <c r="A714" s="52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3" x14ac:dyDescent="0.15">
      <c r="A715" s="52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3" x14ac:dyDescent="0.15">
      <c r="A716" s="52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3" x14ac:dyDescent="0.15">
      <c r="A717" s="52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3" x14ac:dyDescent="0.15">
      <c r="A718" s="52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3" x14ac:dyDescent="0.15">
      <c r="A719" s="52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3" x14ac:dyDescent="0.15">
      <c r="A720" s="52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3" x14ac:dyDescent="0.15">
      <c r="A721" s="52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3" x14ac:dyDescent="0.15">
      <c r="A722" s="52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3" x14ac:dyDescent="0.15">
      <c r="A723" s="52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3" x14ac:dyDescent="0.15">
      <c r="A724" s="52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3" x14ac:dyDescent="0.15">
      <c r="A725" s="52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3" x14ac:dyDescent="0.15">
      <c r="A726" s="52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3" x14ac:dyDescent="0.15">
      <c r="A727" s="52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3" x14ac:dyDescent="0.15">
      <c r="A728" s="52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3" x14ac:dyDescent="0.15">
      <c r="A729" s="52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3" x14ac:dyDescent="0.15">
      <c r="A730" s="52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3" x14ac:dyDescent="0.15">
      <c r="A731" s="52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3" x14ac:dyDescent="0.15">
      <c r="A732" s="52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3" x14ac:dyDescent="0.15">
      <c r="A733" s="52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3" x14ac:dyDescent="0.15">
      <c r="A734" s="52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3" x14ac:dyDescent="0.15">
      <c r="A735" s="52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3" x14ac:dyDescent="0.15">
      <c r="A736" s="52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3" x14ac:dyDescent="0.15">
      <c r="A737" s="52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3" x14ac:dyDescent="0.15">
      <c r="A738" s="52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3" x14ac:dyDescent="0.15">
      <c r="A739" s="52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3" x14ac:dyDescent="0.15">
      <c r="A740" s="52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3" x14ac:dyDescent="0.15">
      <c r="A741" s="52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3" x14ac:dyDescent="0.15">
      <c r="A742" s="52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3" x14ac:dyDescent="0.15">
      <c r="A743" s="52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3" x14ac:dyDescent="0.15">
      <c r="A744" s="52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3" x14ac:dyDescent="0.15">
      <c r="A745" s="52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3" x14ac:dyDescent="0.15">
      <c r="A746" s="52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3" x14ac:dyDescent="0.15">
      <c r="A747" s="52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3" x14ac:dyDescent="0.15">
      <c r="A748" s="52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3" x14ac:dyDescent="0.15">
      <c r="A749" s="52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3" x14ac:dyDescent="0.15">
      <c r="A750" s="52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3" x14ac:dyDescent="0.15">
      <c r="A751" s="52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3" x14ac:dyDescent="0.15">
      <c r="A752" s="52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3" x14ac:dyDescent="0.15">
      <c r="A753" s="52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3" x14ac:dyDescent="0.15">
      <c r="A754" s="52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3" x14ac:dyDescent="0.15">
      <c r="A755" s="52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3" x14ac:dyDescent="0.15">
      <c r="A756" s="52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3" x14ac:dyDescent="0.15">
      <c r="A757" s="52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3" x14ac:dyDescent="0.15">
      <c r="A758" s="52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3" x14ac:dyDescent="0.15">
      <c r="A759" s="52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3" x14ac:dyDescent="0.15">
      <c r="A760" s="52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3" x14ac:dyDescent="0.15">
      <c r="A761" s="52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3" x14ac:dyDescent="0.15">
      <c r="A762" s="52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3" x14ac:dyDescent="0.15">
      <c r="A763" s="52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3" x14ac:dyDescent="0.15">
      <c r="A764" s="52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3" x14ac:dyDescent="0.15">
      <c r="A765" s="52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3" x14ac:dyDescent="0.15">
      <c r="A766" s="52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3" x14ac:dyDescent="0.15">
      <c r="A767" s="52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3" x14ac:dyDescent="0.15">
      <c r="A768" s="52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3" x14ac:dyDescent="0.15">
      <c r="A769" s="52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3" x14ac:dyDescent="0.15">
      <c r="A770" s="52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3" x14ac:dyDescent="0.15">
      <c r="A771" s="52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3" x14ac:dyDescent="0.15">
      <c r="A772" s="52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3" x14ac:dyDescent="0.15">
      <c r="A773" s="52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3" x14ac:dyDescent="0.15">
      <c r="A774" s="52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3" x14ac:dyDescent="0.15">
      <c r="A775" s="52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3" x14ac:dyDescent="0.15">
      <c r="A776" s="52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3" x14ac:dyDescent="0.15">
      <c r="A777" s="52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3" x14ac:dyDescent="0.15">
      <c r="A778" s="52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3" x14ac:dyDescent="0.15">
      <c r="A779" s="52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3" x14ac:dyDescent="0.15">
      <c r="A780" s="52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3" x14ac:dyDescent="0.15">
      <c r="A781" s="52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3" x14ac:dyDescent="0.15">
      <c r="A782" s="52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3" x14ac:dyDescent="0.15">
      <c r="A783" s="52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3" x14ac:dyDescent="0.15">
      <c r="A784" s="52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3" x14ac:dyDescent="0.15">
      <c r="A785" s="52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3" x14ac:dyDescent="0.15">
      <c r="A786" s="52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3" x14ac:dyDescent="0.15">
      <c r="A787" s="52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3" x14ac:dyDescent="0.15">
      <c r="A788" s="52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3" x14ac:dyDescent="0.15">
      <c r="A789" s="52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3" x14ac:dyDescent="0.15">
      <c r="A790" s="52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3" x14ac:dyDescent="0.15">
      <c r="A791" s="52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3" x14ac:dyDescent="0.15">
      <c r="A792" s="52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3" x14ac:dyDescent="0.15">
      <c r="A793" s="52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3" x14ac:dyDescent="0.15">
      <c r="A794" s="52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3" x14ac:dyDescent="0.15">
      <c r="A795" s="52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3" x14ac:dyDescent="0.15">
      <c r="A796" s="52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3" x14ac:dyDescent="0.15">
      <c r="A797" s="52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3" x14ac:dyDescent="0.15">
      <c r="A798" s="52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3" x14ac:dyDescent="0.15">
      <c r="A799" s="52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3" x14ac:dyDescent="0.15">
      <c r="A800" s="52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3" x14ac:dyDescent="0.15">
      <c r="A801" s="52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3" x14ac:dyDescent="0.15">
      <c r="A802" s="52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3" x14ac:dyDescent="0.15">
      <c r="A803" s="52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3" x14ac:dyDescent="0.15">
      <c r="A804" s="52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3" x14ac:dyDescent="0.15">
      <c r="A805" s="52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3" x14ac:dyDescent="0.15">
      <c r="A806" s="52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3" x14ac:dyDescent="0.15">
      <c r="A807" s="52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3" x14ac:dyDescent="0.15">
      <c r="A808" s="52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3" x14ac:dyDescent="0.15">
      <c r="A809" s="52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3" x14ac:dyDescent="0.15">
      <c r="A810" s="52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3" x14ac:dyDescent="0.15">
      <c r="A811" s="52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3" x14ac:dyDescent="0.15">
      <c r="A812" s="52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3" x14ac:dyDescent="0.15">
      <c r="A813" s="52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3" x14ac:dyDescent="0.15">
      <c r="A814" s="52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3" x14ac:dyDescent="0.15">
      <c r="A815" s="52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3" x14ac:dyDescent="0.15">
      <c r="A816" s="52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3" x14ac:dyDescent="0.15">
      <c r="A817" s="52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3" x14ac:dyDescent="0.15">
      <c r="A818" s="52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3" x14ac:dyDescent="0.15">
      <c r="A819" s="52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3" x14ac:dyDescent="0.15">
      <c r="A820" s="52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3" x14ac:dyDescent="0.15">
      <c r="A821" s="52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3" x14ac:dyDescent="0.15">
      <c r="A822" s="52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3" x14ac:dyDescent="0.15">
      <c r="A823" s="52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3" x14ac:dyDescent="0.15">
      <c r="A824" s="52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3" x14ac:dyDescent="0.15">
      <c r="A825" s="52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3" x14ac:dyDescent="0.15">
      <c r="A826" s="52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3" x14ac:dyDescent="0.15">
      <c r="A827" s="52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3" x14ac:dyDescent="0.15">
      <c r="A828" s="52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3" x14ac:dyDescent="0.15">
      <c r="A829" s="52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3" x14ac:dyDescent="0.15">
      <c r="A830" s="52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3" x14ac:dyDescent="0.15">
      <c r="A831" s="52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3" x14ac:dyDescent="0.15">
      <c r="A832" s="52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3" x14ac:dyDescent="0.15">
      <c r="A833" s="52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3" x14ac:dyDescent="0.15">
      <c r="A834" s="52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3" x14ac:dyDescent="0.15">
      <c r="A835" s="52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3" x14ac:dyDescent="0.15">
      <c r="A836" s="52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3" x14ac:dyDescent="0.15">
      <c r="A837" s="52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3" x14ac:dyDescent="0.15">
      <c r="A838" s="52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3" x14ac:dyDescent="0.15">
      <c r="A839" s="52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3" x14ac:dyDescent="0.15">
      <c r="A840" s="52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3" x14ac:dyDescent="0.15">
      <c r="A841" s="52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3" x14ac:dyDescent="0.15">
      <c r="A842" s="52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3" x14ac:dyDescent="0.15">
      <c r="A843" s="52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3" x14ac:dyDescent="0.15">
      <c r="A844" s="52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3" x14ac:dyDescent="0.15">
      <c r="A845" s="52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3" x14ac:dyDescent="0.15">
      <c r="A846" s="52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3" x14ac:dyDescent="0.15">
      <c r="A847" s="52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3" x14ac:dyDescent="0.15">
      <c r="A848" s="52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3" x14ac:dyDescent="0.15">
      <c r="A849" s="52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3" x14ac:dyDescent="0.15">
      <c r="A850" s="52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3" x14ac:dyDescent="0.15">
      <c r="A851" s="52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3" x14ac:dyDescent="0.15">
      <c r="A852" s="52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3" x14ac:dyDescent="0.15">
      <c r="A853" s="52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3" x14ac:dyDescent="0.15">
      <c r="A854" s="52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3" x14ac:dyDescent="0.15">
      <c r="A855" s="52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3" x14ac:dyDescent="0.15">
      <c r="A856" s="52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3" x14ac:dyDescent="0.15">
      <c r="A857" s="52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3" x14ac:dyDescent="0.15">
      <c r="A858" s="52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3" x14ac:dyDescent="0.15">
      <c r="A859" s="52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3" x14ac:dyDescent="0.15">
      <c r="A860" s="52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3" x14ac:dyDescent="0.15">
      <c r="A861" s="52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3" x14ac:dyDescent="0.15">
      <c r="A862" s="52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3" x14ac:dyDescent="0.15">
      <c r="A863" s="52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3" x14ac:dyDescent="0.15">
      <c r="A864" s="52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3" x14ac:dyDescent="0.15">
      <c r="A865" s="52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3" x14ac:dyDescent="0.15">
      <c r="A866" s="52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3" x14ac:dyDescent="0.15">
      <c r="A867" s="52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3" x14ac:dyDescent="0.15">
      <c r="A868" s="52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3" x14ac:dyDescent="0.15">
      <c r="A869" s="52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3" x14ac:dyDescent="0.15">
      <c r="A870" s="52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3" x14ac:dyDescent="0.15">
      <c r="A871" s="52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3" x14ac:dyDescent="0.15">
      <c r="A872" s="52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3" x14ac:dyDescent="0.15">
      <c r="A873" s="52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3" x14ac:dyDescent="0.15">
      <c r="A874" s="52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3" x14ac:dyDescent="0.15">
      <c r="A875" s="52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3" x14ac:dyDescent="0.15">
      <c r="A876" s="52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3" x14ac:dyDescent="0.15">
      <c r="A877" s="52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3" x14ac:dyDescent="0.15">
      <c r="A878" s="52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3" x14ac:dyDescent="0.15">
      <c r="A879" s="52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3" x14ac:dyDescent="0.15">
      <c r="A880" s="52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3" x14ac:dyDescent="0.15">
      <c r="A881" s="52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3" x14ac:dyDescent="0.15">
      <c r="A882" s="52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3" x14ac:dyDescent="0.15">
      <c r="A883" s="52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3" x14ac:dyDescent="0.15">
      <c r="A884" s="52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3" x14ac:dyDescent="0.15">
      <c r="A885" s="52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3" x14ac:dyDescent="0.15">
      <c r="A886" s="52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3" x14ac:dyDescent="0.15">
      <c r="A887" s="52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3" x14ac:dyDescent="0.15">
      <c r="A888" s="52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3" x14ac:dyDescent="0.15">
      <c r="A889" s="52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3" x14ac:dyDescent="0.15">
      <c r="A890" s="52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3" x14ac:dyDescent="0.15">
      <c r="A891" s="52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3" x14ac:dyDescent="0.15">
      <c r="A892" s="52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3" x14ac:dyDescent="0.15">
      <c r="A893" s="52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3" x14ac:dyDescent="0.15">
      <c r="A894" s="52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3" x14ac:dyDescent="0.15">
      <c r="A895" s="52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3" x14ac:dyDescent="0.15">
      <c r="A896" s="52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3" x14ac:dyDescent="0.15">
      <c r="A897" s="52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3" x14ac:dyDescent="0.15">
      <c r="A898" s="52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3" x14ac:dyDescent="0.15">
      <c r="A899" s="52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3" x14ac:dyDescent="0.15">
      <c r="A900" s="52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3" x14ac:dyDescent="0.15">
      <c r="A901" s="52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3" x14ac:dyDescent="0.15">
      <c r="A902" s="52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3" x14ac:dyDescent="0.15">
      <c r="A903" s="52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3" x14ac:dyDescent="0.15">
      <c r="A904" s="52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3" x14ac:dyDescent="0.15">
      <c r="A905" s="52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3" x14ac:dyDescent="0.15">
      <c r="A906" s="52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3" x14ac:dyDescent="0.15">
      <c r="A907" s="52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3" x14ac:dyDescent="0.15">
      <c r="A908" s="52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3" x14ac:dyDescent="0.15">
      <c r="A909" s="52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3" x14ac:dyDescent="0.15">
      <c r="A910" s="52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3" x14ac:dyDescent="0.15">
      <c r="A911" s="52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3" x14ac:dyDescent="0.15">
      <c r="A912" s="52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3" x14ac:dyDescent="0.15">
      <c r="A913" s="52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3" x14ac:dyDescent="0.15">
      <c r="A914" s="52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3" x14ac:dyDescent="0.15">
      <c r="A915" s="52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3" x14ac:dyDescent="0.15">
      <c r="A916" s="52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3" x14ac:dyDescent="0.15">
      <c r="A917" s="52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3" x14ac:dyDescent="0.15">
      <c r="A918" s="52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3" x14ac:dyDescent="0.15">
      <c r="A919" s="52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3" x14ac:dyDescent="0.15">
      <c r="A920" s="52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3" x14ac:dyDescent="0.15">
      <c r="A921" s="52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3" x14ac:dyDescent="0.15">
      <c r="A922" s="52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3" x14ac:dyDescent="0.15">
      <c r="A923" s="52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3" x14ac:dyDescent="0.15">
      <c r="A924" s="52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3" x14ac:dyDescent="0.15">
      <c r="A925" s="52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3" x14ac:dyDescent="0.15">
      <c r="A926" s="52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3" x14ac:dyDescent="0.15">
      <c r="A927" s="52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3" x14ac:dyDescent="0.15">
      <c r="A928" s="52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3" x14ac:dyDescent="0.15">
      <c r="A929" s="52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3" x14ac:dyDescent="0.15">
      <c r="A930" s="52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3" x14ac:dyDescent="0.15">
      <c r="A931" s="52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3" x14ac:dyDescent="0.15">
      <c r="A932" s="52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3" x14ac:dyDescent="0.15">
      <c r="A933" s="52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3" x14ac:dyDescent="0.15">
      <c r="A934" s="52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3" x14ac:dyDescent="0.15">
      <c r="A935" s="52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3" x14ac:dyDescent="0.15">
      <c r="A936" s="52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3" x14ac:dyDescent="0.15">
      <c r="A937" s="52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3" x14ac:dyDescent="0.15">
      <c r="A938" s="52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3" x14ac:dyDescent="0.15">
      <c r="A939" s="52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3" x14ac:dyDescent="0.15">
      <c r="A940" s="52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3" x14ac:dyDescent="0.15">
      <c r="A941" s="52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3" x14ac:dyDescent="0.15">
      <c r="A942" s="52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3" x14ac:dyDescent="0.15">
      <c r="A943" s="52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3" x14ac:dyDescent="0.15">
      <c r="A944" s="52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3" x14ac:dyDescent="0.15">
      <c r="A945" s="52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3" x14ac:dyDescent="0.15">
      <c r="A946" s="52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3" x14ac:dyDescent="0.15">
      <c r="A947" s="52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3" x14ac:dyDescent="0.15">
      <c r="A948" s="52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3" x14ac:dyDescent="0.15">
      <c r="A949" s="52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3" x14ac:dyDescent="0.15">
      <c r="A950" s="52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3" x14ac:dyDescent="0.15">
      <c r="A951" s="52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3" x14ac:dyDescent="0.15">
      <c r="A952" s="52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3" x14ac:dyDescent="0.15">
      <c r="A953" s="52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3" x14ac:dyDescent="0.15">
      <c r="A954" s="52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3" x14ac:dyDescent="0.15">
      <c r="A955" s="52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3" x14ac:dyDescent="0.15">
      <c r="A956" s="52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3" x14ac:dyDescent="0.15">
      <c r="A957" s="52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3" x14ac:dyDescent="0.15">
      <c r="A958" s="52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3" x14ac:dyDescent="0.15">
      <c r="A959" s="52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3" x14ac:dyDescent="0.15">
      <c r="A960" s="52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3" x14ac:dyDescent="0.15">
      <c r="A961" s="52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3" x14ac:dyDescent="0.15">
      <c r="A962" s="52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3" x14ac:dyDescent="0.15">
      <c r="A963" s="52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3" x14ac:dyDescent="0.15">
      <c r="A964" s="52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Ввод информации</vt:lpstr>
      <vt:lpstr>Параметры для расчета</vt:lpstr>
      <vt:lpstr>Итог</vt:lpstr>
      <vt:lpstr>Цены</vt:lpstr>
      <vt:lpstr>Фундамент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2023-05-30T10:03:24Z</cp:lastPrinted>
  <dcterms:created xsi:type="dcterms:W3CDTF">2023-05-16T17:25:09Z</dcterms:created>
  <dcterms:modified xsi:type="dcterms:W3CDTF">2023-05-30T10:03:28Z</dcterms:modified>
</cp:coreProperties>
</file>